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inhe\Desktop\SONIA - ACUMULO IAMSPE\"/>
    </mc:Choice>
  </mc:AlternateContent>
  <xr:revisionPtr revIDLastSave="0" documentId="13_ncr:1_{E2FB4A51-1F2C-47EE-966C-E16ABE9D1E01}" xr6:coauthVersionLast="47" xr6:coauthVersionMax="47" xr10:uidLastSave="{00000000-0000-0000-0000-000000000000}"/>
  <bookViews>
    <workbookView xWindow="-28920" yWindow="1245" windowWidth="29040" windowHeight="157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2" i="1" l="1"/>
  <c r="L80" i="1"/>
  <c r="K71" i="1"/>
  <c r="L71" i="1" s="1"/>
  <c r="K70" i="1"/>
  <c r="L72" i="1"/>
  <c r="K69" i="1"/>
  <c r="L79" i="1"/>
  <c r="L78" i="1"/>
  <c r="L77" i="1"/>
  <c r="L76" i="1"/>
  <c r="L75" i="1"/>
  <c r="L74" i="1"/>
  <c r="L73" i="1"/>
  <c r="L70" i="1"/>
  <c r="L69" i="1"/>
  <c r="K62" i="1"/>
  <c r="L62" i="1" s="1"/>
  <c r="K61" i="1"/>
  <c r="L61" i="1" s="1"/>
  <c r="K60" i="1"/>
  <c r="L60" i="1" s="1"/>
  <c r="K59" i="1"/>
  <c r="L59" i="1" s="1"/>
  <c r="K58" i="1"/>
  <c r="K57" i="1"/>
  <c r="K56" i="1"/>
  <c r="L56" i="1" s="1"/>
  <c r="K44" i="1"/>
  <c r="L44" i="1" s="1"/>
  <c r="K43" i="1"/>
  <c r="L43" i="1" s="1"/>
  <c r="K32" i="1"/>
  <c r="K31" i="1"/>
  <c r="K30" i="1"/>
  <c r="E32" i="1"/>
  <c r="E31" i="1"/>
  <c r="E30" i="1"/>
  <c r="L23" i="1"/>
  <c r="L4" i="1"/>
  <c r="L6" i="1"/>
  <c r="L67" i="1"/>
  <c r="L66" i="1"/>
  <c r="L65" i="1"/>
  <c r="L64" i="1"/>
  <c r="L63" i="1"/>
  <c r="L58" i="1"/>
  <c r="L57" i="1"/>
  <c r="L54" i="1"/>
  <c r="L53" i="1"/>
  <c r="L52" i="1"/>
  <c r="L51" i="1"/>
  <c r="L50" i="1"/>
  <c r="L49" i="1"/>
  <c r="L48" i="1"/>
  <c r="L47" i="1"/>
  <c r="L46" i="1"/>
  <c r="L45" i="1"/>
  <c r="L41" i="1"/>
  <c r="L40" i="1"/>
  <c r="L39" i="1"/>
  <c r="L38" i="1"/>
  <c r="L37" i="1"/>
  <c r="L36" i="1"/>
  <c r="L35" i="1"/>
  <c r="L34" i="1"/>
  <c r="L33" i="1"/>
  <c r="L28" i="1"/>
  <c r="L27" i="1"/>
  <c r="L26" i="1"/>
  <c r="L25" i="1"/>
  <c r="L24" i="1"/>
  <c r="L22" i="1"/>
  <c r="L21" i="1"/>
  <c r="L20" i="1"/>
  <c r="L19" i="1"/>
  <c r="L18" i="1"/>
  <c r="L17" i="1"/>
  <c r="L5" i="1"/>
  <c r="L7" i="1"/>
  <c r="L8" i="1"/>
  <c r="L9" i="1"/>
  <c r="L10" i="1"/>
  <c r="L11" i="1"/>
  <c r="L12" i="1"/>
  <c r="L13" i="1"/>
  <c r="L14" i="1"/>
  <c r="L30" i="1" l="1"/>
  <c r="L83" i="1" s="1"/>
  <c r="L31" i="1"/>
  <c r="L32" i="1"/>
  <c r="L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tc={70BDD9A5-8DF6-4EF3-9765-08D43FCA5137}</author>
  </authors>
  <commentList>
    <comment ref="A17" authorId="0" shapeId="0" xr:uid="{70BDD9A5-8DF6-4EF3-9765-08D43FCA513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Início da cobrança IAMSPE BENEFICIÁRIOS  LEI 17.293/20
</t>
      </text>
    </comment>
  </commentList>
</comments>
</file>

<file path=xl/sharedStrings.xml><?xml version="1.0" encoding="utf-8"?>
<sst xmlns="http://schemas.openxmlformats.org/spreadsheetml/2006/main" count="17" uniqueCount="17">
  <si>
    <t>DATA DE PAGAMENTO</t>
  </si>
  <si>
    <t>TOTAL BRUTO:</t>
  </si>
  <si>
    <t xml:space="preserve">CONTRIBUIÇÃO DO IMSPE SOBRE O SEGUNDO VÍNCULO </t>
  </si>
  <si>
    <t xml:space="preserve">70.006: IAMSPE </t>
  </si>
  <si>
    <t>70.007: IAMSPE S/ 1/3 FÉRIAS</t>
  </si>
  <si>
    <t>70.037: IAMSPE-AGREGADOS-LEI 11.125/2002</t>
  </si>
  <si>
    <t>70.119: IAMSPE BENEFICIARIOS-LEI 17.293/20</t>
  </si>
  <si>
    <t>70.120 IAMSPE
AGREGADOS S/ FÉRIAS</t>
  </si>
  <si>
    <t>70.121 IAMSPE BENEFICIARIOS S/ FÉRIAS</t>
  </si>
  <si>
    <t>70.122: IAMSPE - 13 SALARIO</t>
  </si>
  <si>
    <t>70.124: IAMSPE BENEFICIARIOS - 13 SALARIO</t>
  </si>
  <si>
    <t>70.123: IAMSPE AGREGADOS - 13
SALARIO</t>
  </si>
  <si>
    <t>70.125: IAMSPE - LEI 17.293/2020</t>
  </si>
  <si>
    <t xml:space="preserve"> </t>
  </si>
  <si>
    <t>VALOR DEVIDO:</t>
  </si>
  <si>
    <t>01/06/202</t>
  </si>
  <si>
    <t>REQUERENTE: SONIA CELI I SEN 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</si>
</sst>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38642"/>
        <bgColor indexed="64"/>
      </patternFill>
    </fill>
    <fill>
      <patternFill patternType="solid">
        <fgColor rgb="FF19284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44" fontId="2" fillId="0" borderId="0" xfId="1" applyFont="1"/>
    <xf numFmtId="0" fontId="0" fillId="2" borderId="0" xfId="0" applyFill="1"/>
    <xf numFmtId="0" fontId="4" fillId="4" borderId="10" xfId="0" applyFont="1" applyFill="1" applyBorder="1" applyAlignment="1">
      <alignment horizontal="center" vertical="center" wrapText="1"/>
    </xf>
    <xf numFmtId="44" fontId="4" fillId="4" borderId="2" xfId="1" applyFont="1" applyFill="1" applyBorder="1" applyAlignment="1">
      <alignment horizontal="center" vertical="center" wrapText="1"/>
    </xf>
    <xf numFmtId="44" fontId="5" fillId="4" borderId="2" xfId="1" applyFont="1" applyFill="1" applyBorder="1" applyAlignment="1">
      <alignment horizontal="center" vertical="center" wrapText="1"/>
    </xf>
    <xf numFmtId="44" fontId="4" fillId="4" borderId="14" xfId="1" applyFont="1" applyFill="1" applyBorder="1" applyAlignment="1">
      <alignment horizontal="center" vertical="center" wrapText="1"/>
    </xf>
    <xf numFmtId="14" fontId="2" fillId="5" borderId="11" xfId="0" applyNumberFormat="1" applyFont="1" applyFill="1" applyBorder="1" applyAlignment="1">
      <alignment horizontal="center"/>
    </xf>
    <xf numFmtId="44" fontId="2" fillId="5" borderId="1" xfId="1" applyFont="1" applyFill="1" applyBorder="1" applyAlignment="1">
      <alignment horizontal="center"/>
    </xf>
    <xf numFmtId="44" fontId="2" fillId="5" borderId="1" xfId="1" applyFont="1" applyFill="1" applyBorder="1"/>
    <xf numFmtId="44" fontId="2" fillId="3" borderId="12" xfId="1" applyFont="1" applyFill="1" applyBorder="1"/>
    <xf numFmtId="44" fontId="2" fillId="6" borderId="1" xfId="1" applyFont="1" applyFill="1" applyBorder="1" applyAlignment="1">
      <alignment horizontal="center"/>
    </xf>
    <xf numFmtId="44" fontId="2" fillId="6" borderId="1" xfId="1" applyFont="1" applyFill="1" applyBorder="1"/>
    <xf numFmtId="0" fontId="2" fillId="0" borderId="13" xfId="0" applyFont="1" applyBorder="1"/>
    <xf numFmtId="0" fontId="2" fillId="0" borderId="7" xfId="0" applyFont="1" applyBorder="1"/>
    <xf numFmtId="0" fontId="2" fillId="0" borderId="15" xfId="0" applyFont="1" applyBorder="1"/>
    <xf numFmtId="14" fontId="2" fillId="2" borderId="7" xfId="0" applyNumberFormat="1" applyFont="1" applyFill="1" applyBorder="1"/>
    <xf numFmtId="14" fontId="2" fillId="2" borderId="13" xfId="0" applyNumberFormat="1" applyFont="1" applyFill="1" applyBorder="1"/>
    <xf numFmtId="14" fontId="2" fillId="2" borderId="15" xfId="0" applyNumberFormat="1" applyFont="1" applyFill="1" applyBorder="1"/>
    <xf numFmtId="44" fontId="2" fillId="7" borderId="1" xfId="1" applyFont="1" applyFill="1" applyBorder="1" applyAlignment="1">
      <alignment horizontal="center"/>
    </xf>
    <xf numFmtId="44" fontId="2" fillId="7" borderId="1" xfId="1" applyFont="1" applyFill="1" applyBorder="1"/>
    <xf numFmtId="14" fontId="8" fillId="5" borderId="11" xfId="0" applyNumberFormat="1" applyFont="1" applyFill="1" applyBorder="1" applyAlignment="1">
      <alignment horizontal="center"/>
    </xf>
    <xf numFmtId="44" fontId="2" fillId="2" borderId="16" xfId="1" applyFont="1" applyFill="1" applyBorder="1"/>
    <xf numFmtId="14" fontId="2" fillId="2" borderId="0" xfId="0" applyNumberFormat="1" applyFont="1" applyFill="1" applyAlignment="1">
      <alignment horizontal="center"/>
    </xf>
    <xf numFmtId="44" fontId="2" fillId="2" borderId="0" xfId="1" applyFont="1" applyFill="1" applyBorder="1" applyAlignment="1">
      <alignment horizontal="center"/>
    </xf>
    <xf numFmtId="44" fontId="2" fillId="2" borderId="0" xfId="1" applyFont="1" applyFill="1" applyBorder="1"/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4" fontId="2" fillId="2" borderId="0" xfId="0" applyNumberFormat="1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44" fontId="7" fillId="3" borderId="19" xfId="0" applyNumberFormat="1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44" fontId="2" fillId="3" borderId="1" xfId="1" applyFont="1" applyFill="1" applyBorder="1"/>
  </cellXfs>
  <cellStyles count="3">
    <cellStyle name="Moeda" xfId="1" builtinId="4"/>
    <cellStyle name="Moeda 2" xfId="2" xr:uid="{F7C2EB67-3085-445E-9B3C-A4D4B0F1AB73}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38642"/>
      <color rgb="FF1928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aleria pinheiro" id="{21336CE0-8BBA-42A4-A723-0A434226F59A}" userId="c04861dc0e223631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7" dT="2025-01-24T14:49:43.51" personId="{21336CE0-8BBA-42A4-A723-0A434226F59A}" id="{70BDD9A5-8DF6-4EF3-9765-08D43FCA5137}">
    <text xml:space="preserve">Início da cobrança IAMSPE BENEFICIÁRIOS  LEI 17.293/20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6"/>
  <sheetViews>
    <sheetView tabSelected="1" zoomScale="115" zoomScaleNormal="115" workbookViewId="0">
      <pane ySplit="3" topLeftCell="A17" activePane="bottomLeft" state="frozen"/>
      <selection pane="bottomLeft" activeCell="G85" sqref="G85"/>
    </sheetView>
  </sheetViews>
  <sheetFormatPr defaultRowHeight="14.4" x14ac:dyDescent="0.3"/>
  <cols>
    <col min="1" max="1" width="11.6640625" style="1" customWidth="1"/>
    <col min="2" max="2" width="12.5546875" style="2" customWidth="1"/>
    <col min="3" max="3" width="13.33203125" style="2" customWidth="1"/>
    <col min="4" max="6" width="16" style="2" customWidth="1"/>
    <col min="7" max="9" width="17.33203125" style="3" customWidth="1"/>
    <col min="10" max="10" width="19.88671875" style="3" customWidth="1"/>
    <col min="11" max="11" width="19.5546875" style="3" customWidth="1"/>
    <col min="12" max="12" width="18.88671875" style="3" customWidth="1"/>
  </cols>
  <sheetData>
    <row r="1" spans="1:12" ht="21" customHeight="1" x14ac:dyDescent="0.3">
      <c r="A1" s="28" t="s">
        <v>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</row>
    <row r="2" spans="1:12" ht="21" customHeight="1" thickBot="1" x14ac:dyDescent="0.35">
      <c r="A2" s="31" t="s">
        <v>16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1:12" ht="60" customHeight="1" x14ac:dyDescent="0.3">
      <c r="A3" s="5" t="s">
        <v>0</v>
      </c>
      <c r="B3" s="6" t="s">
        <v>3</v>
      </c>
      <c r="C3" s="6" t="s">
        <v>4</v>
      </c>
      <c r="D3" s="7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11</v>
      </c>
      <c r="J3" s="6" t="s">
        <v>10</v>
      </c>
      <c r="K3" s="6" t="s">
        <v>12</v>
      </c>
      <c r="L3" s="8" t="s">
        <v>14</v>
      </c>
    </row>
    <row r="4" spans="1:12" hidden="1" x14ac:dyDescent="0.3">
      <c r="A4" s="9">
        <v>43831</v>
      </c>
      <c r="B4" s="21">
        <v>60.89</v>
      </c>
      <c r="C4" s="21"/>
      <c r="D4" s="21"/>
      <c r="E4" s="21"/>
      <c r="F4" s="21"/>
      <c r="G4" s="22"/>
      <c r="H4" s="22"/>
      <c r="I4" s="22"/>
      <c r="J4" s="22"/>
      <c r="K4" s="22"/>
      <c r="L4" s="12" t="e">
        <f>SUM(B4:E5K4)</f>
        <v>#NAME?</v>
      </c>
    </row>
    <row r="5" spans="1:12" hidden="1" x14ac:dyDescent="0.3">
      <c r="A5" s="9">
        <v>43862</v>
      </c>
      <c r="B5" s="13">
        <v>60.89</v>
      </c>
      <c r="C5" s="10"/>
      <c r="D5" s="10"/>
      <c r="E5" s="10"/>
      <c r="F5" s="10"/>
      <c r="G5" s="10"/>
      <c r="H5" s="10"/>
      <c r="I5" s="10"/>
      <c r="J5" s="10"/>
      <c r="K5" s="11"/>
      <c r="L5" s="12">
        <f t="shared" ref="L5:L15" si="0">SUM(B5:K5)</f>
        <v>60.89</v>
      </c>
    </row>
    <row r="6" spans="1:12" hidden="1" x14ac:dyDescent="0.3">
      <c r="A6" s="9">
        <v>43891</v>
      </c>
      <c r="B6" s="10">
        <v>72.099999999999994</v>
      </c>
      <c r="C6" s="10"/>
      <c r="D6" s="10"/>
      <c r="E6" s="10"/>
      <c r="F6" s="10"/>
      <c r="G6" s="10"/>
      <c r="H6" s="10"/>
      <c r="I6" s="10"/>
      <c r="J6" s="10"/>
      <c r="K6" s="11"/>
      <c r="L6" s="12">
        <f>SUM(B6:K6)</f>
        <v>72.099999999999994</v>
      </c>
    </row>
    <row r="7" spans="1:12" hidden="1" x14ac:dyDescent="0.3">
      <c r="A7" s="9">
        <v>43922</v>
      </c>
      <c r="B7" s="10">
        <v>76.97</v>
      </c>
      <c r="C7" s="10">
        <v>8.11</v>
      </c>
      <c r="D7" s="10"/>
      <c r="E7" s="10"/>
      <c r="F7" s="10"/>
      <c r="G7" s="10"/>
      <c r="H7" s="10"/>
      <c r="I7" s="10"/>
      <c r="J7" s="10"/>
      <c r="K7" s="11"/>
      <c r="L7" s="12">
        <f t="shared" si="0"/>
        <v>85.08</v>
      </c>
    </row>
    <row r="8" spans="1:12" hidden="1" x14ac:dyDescent="0.3">
      <c r="A8" s="9">
        <v>43952</v>
      </c>
      <c r="B8" s="10">
        <v>73.069999999999993</v>
      </c>
      <c r="C8" s="10"/>
      <c r="D8" s="10"/>
      <c r="E8" s="10"/>
      <c r="F8" s="10"/>
      <c r="G8" s="10"/>
      <c r="H8" s="10"/>
      <c r="I8" s="10"/>
      <c r="J8" s="10"/>
      <c r="K8" s="11"/>
      <c r="L8" s="12">
        <f t="shared" si="0"/>
        <v>73.069999999999993</v>
      </c>
    </row>
    <row r="9" spans="1:12" hidden="1" x14ac:dyDescent="0.3">
      <c r="A9" s="9">
        <v>43983</v>
      </c>
      <c r="B9" s="10">
        <v>73.069999999999993</v>
      </c>
      <c r="C9" s="10"/>
      <c r="D9" s="10"/>
      <c r="E9" s="10"/>
      <c r="F9" s="10"/>
      <c r="G9" s="10"/>
      <c r="H9" s="10"/>
      <c r="I9" s="10"/>
      <c r="J9" s="10"/>
      <c r="K9" s="11"/>
      <c r="L9" s="12">
        <f t="shared" si="0"/>
        <v>73.069999999999993</v>
      </c>
    </row>
    <row r="10" spans="1:12" hidden="1" x14ac:dyDescent="0.3">
      <c r="A10" s="9">
        <v>44013</v>
      </c>
      <c r="B10" s="10">
        <v>73.069999999999993</v>
      </c>
      <c r="C10" s="10"/>
      <c r="D10" s="10"/>
      <c r="E10" s="10"/>
      <c r="F10" s="10"/>
      <c r="G10" s="10"/>
      <c r="H10" s="10"/>
      <c r="I10" s="10"/>
      <c r="J10" s="10"/>
      <c r="K10" s="11"/>
      <c r="L10" s="12">
        <f t="shared" si="0"/>
        <v>73.069999999999993</v>
      </c>
    </row>
    <row r="11" spans="1:12" hidden="1" x14ac:dyDescent="0.3">
      <c r="A11" s="9">
        <v>44044</v>
      </c>
      <c r="B11" s="10">
        <v>73.069999999999993</v>
      </c>
      <c r="C11" s="10"/>
      <c r="D11" s="10" t="s">
        <v>13</v>
      </c>
      <c r="E11" s="10"/>
      <c r="F11" s="10"/>
      <c r="G11" s="11"/>
      <c r="H11" s="11"/>
      <c r="I11" s="11"/>
      <c r="J11" s="11"/>
      <c r="K11" s="11"/>
      <c r="L11" s="12">
        <f t="shared" si="0"/>
        <v>73.069999999999993</v>
      </c>
    </row>
    <row r="12" spans="1:12" hidden="1" x14ac:dyDescent="0.3">
      <c r="A12" s="9">
        <v>44075</v>
      </c>
      <c r="B12" s="10">
        <v>73.069999999999993</v>
      </c>
      <c r="C12" s="10"/>
      <c r="D12" s="10"/>
      <c r="E12" s="10"/>
      <c r="F12" s="10"/>
      <c r="G12" s="11"/>
      <c r="H12" s="11"/>
      <c r="I12" s="11"/>
      <c r="J12" s="11"/>
      <c r="K12" s="11"/>
      <c r="L12" s="12">
        <f t="shared" si="0"/>
        <v>73.069999999999993</v>
      </c>
    </row>
    <row r="13" spans="1:12" hidden="1" x14ac:dyDescent="0.3">
      <c r="A13" s="9">
        <v>44105</v>
      </c>
      <c r="B13" s="10">
        <v>73.069999999999993</v>
      </c>
      <c r="C13" s="10"/>
      <c r="D13" s="10"/>
      <c r="E13" s="10"/>
      <c r="F13" s="10"/>
      <c r="G13" s="11"/>
      <c r="H13" s="11"/>
      <c r="I13" s="11"/>
      <c r="J13" s="11"/>
      <c r="K13" s="11"/>
      <c r="L13" s="12">
        <f t="shared" si="0"/>
        <v>73.069999999999993</v>
      </c>
    </row>
    <row r="14" spans="1:12" hidden="1" x14ac:dyDescent="0.3">
      <c r="A14" s="9">
        <v>44136</v>
      </c>
      <c r="B14" s="10">
        <v>73.069999999999993</v>
      </c>
      <c r="C14" s="10"/>
      <c r="D14" s="10"/>
      <c r="E14" s="10"/>
      <c r="F14" s="10"/>
      <c r="G14" s="11"/>
      <c r="H14" s="11"/>
      <c r="I14" s="11"/>
      <c r="J14" s="11"/>
      <c r="K14" s="11"/>
      <c r="L14" s="12">
        <f t="shared" si="0"/>
        <v>73.069999999999993</v>
      </c>
    </row>
    <row r="15" spans="1:12" hidden="1" x14ac:dyDescent="0.3">
      <c r="A15" s="9">
        <v>44166</v>
      </c>
      <c r="B15" s="10">
        <v>73.069999999999993</v>
      </c>
      <c r="C15" s="10"/>
      <c r="D15" s="10"/>
      <c r="E15" s="10"/>
      <c r="F15" s="10"/>
      <c r="G15" s="11"/>
      <c r="H15" s="11"/>
      <c r="I15" s="11"/>
      <c r="J15" s="11">
        <v>18.32</v>
      </c>
      <c r="K15" s="11"/>
      <c r="L15" s="12">
        <f t="shared" si="0"/>
        <v>91.389999999999986</v>
      </c>
    </row>
    <row r="16" spans="1:12" s="4" customFormat="1" ht="11.25" hidden="1" customHeight="1" x14ac:dyDescent="0.3">
      <c r="A16" s="19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/>
    </row>
    <row r="17" spans="1:12" x14ac:dyDescent="0.3">
      <c r="A17" s="23">
        <v>44197</v>
      </c>
      <c r="B17" s="13">
        <v>47.15</v>
      </c>
      <c r="C17" s="13"/>
      <c r="D17" s="13"/>
      <c r="E17" s="13"/>
      <c r="F17" s="13"/>
      <c r="G17" s="14"/>
      <c r="H17" s="14"/>
      <c r="I17" s="14"/>
      <c r="J17" s="14"/>
      <c r="K17" s="14"/>
      <c r="L17" s="12">
        <f>SUM(B17:K17)</f>
        <v>47.15</v>
      </c>
    </row>
    <row r="18" spans="1:12" x14ac:dyDescent="0.3">
      <c r="A18" s="23">
        <v>44228</v>
      </c>
      <c r="B18" s="13">
        <v>20.43</v>
      </c>
      <c r="C18" s="10"/>
      <c r="D18" s="10"/>
      <c r="E18" s="10"/>
      <c r="F18" s="10"/>
      <c r="G18" s="10"/>
      <c r="H18" s="10"/>
      <c r="I18" s="10"/>
      <c r="J18" s="10"/>
      <c r="K18" s="11">
        <v>40.08</v>
      </c>
      <c r="L18" s="12">
        <f t="shared" ref="L18:L28" si="1">SUM(B18:K18)</f>
        <v>60.51</v>
      </c>
    </row>
    <row r="19" spans="1:12" x14ac:dyDescent="0.3">
      <c r="A19" s="9">
        <v>44256</v>
      </c>
      <c r="B19" s="10"/>
      <c r="C19" s="10"/>
      <c r="D19" s="10"/>
      <c r="E19" s="10"/>
      <c r="F19" s="10"/>
      <c r="G19" s="10"/>
      <c r="H19" s="10"/>
      <c r="I19" s="10"/>
      <c r="J19" s="10"/>
      <c r="K19" s="11">
        <v>70.73</v>
      </c>
      <c r="L19" s="12">
        <f t="shared" si="1"/>
        <v>70.73</v>
      </c>
    </row>
    <row r="20" spans="1:12" x14ac:dyDescent="0.3">
      <c r="A20" s="9">
        <v>44287</v>
      </c>
      <c r="B20" s="10"/>
      <c r="C20" s="10"/>
      <c r="D20" s="10"/>
      <c r="E20" s="10"/>
      <c r="F20" s="10"/>
      <c r="G20" s="10"/>
      <c r="H20" s="10"/>
      <c r="I20" s="10"/>
      <c r="J20" s="10"/>
      <c r="K20" s="11">
        <v>70.73</v>
      </c>
      <c r="L20" s="12">
        <f t="shared" si="1"/>
        <v>70.73</v>
      </c>
    </row>
    <row r="21" spans="1:12" x14ac:dyDescent="0.3">
      <c r="A21" s="9">
        <v>44317</v>
      </c>
      <c r="B21" s="10"/>
      <c r="C21" s="10"/>
      <c r="D21" s="10"/>
      <c r="E21" s="10"/>
      <c r="F21" s="10"/>
      <c r="G21" s="10"/>
      <c r="H21" s="10"/>
      <c r="I21" s="10"/>
      <c r="J21" s="10"/>
      <c r="K21" s="11">
        <v>70.73</v>
      </c>
      <c r="L21" s="12">
        <f t="shared" si="1"/>
        <v>70.73</v>
      </c>
    </row>
    <row r="22" spans="1:12" x14ac:dyDescent="0.3">
      <c r="A22" s="9">
        <v>44348</v>
      </c>
      <c r="B22" s="10"/>
      <c r="C22" s="10"/>
      <c r="D22" s="10"/>
      <c r="E22" s="10"/>
      <c r="F22" s="10"/>
      <c r="G22" s="10"/>
      <c r="H22" s="10"/>
      <c r="I22" s="10"/>
      <c r="J22" s="10"/>
      <c r="K22" s="11">
        <v>70.73</v>
      </c>
      <c r="L22" s="12">
        <f t="shared" si="1"/>
        <v>70.73</v>
      </c>
    </row>
    <row r="23" spans="1:12" x14ac:dyDescent="0.3">
      <c r="A23" s="9">
        <v>44378</v>
      </c>
      <c r="B23" s="10"/>
      <c r="C23" s="10">
        <v>11.78</v>
      </c>
      <c r="D23" s="10"/>
      <c r="E23" s="10"/>
      <c r="F23" s="10"/>
      <c r="G23" s="10"/>
      <c r="H23" s="10"/>
      <c r="I23" s="10"/>
      <c r="J23" s="10"/>
      <c r="K23" s="11">
        <v>70.73</v>
      </c>
      <c r="L23" s="12">
        <f>SUM(B23:K23)</f>
        <v>82.51</v>
      </c>
    </row>
    <row r="24" spans="1:12" x14ac:dyDescent="0.3">
      <c r="A24" s="9">
        <v>44409</v>
      </c>
      <c r="B24" s="10"/>
      <c r="C24" s="10"/>
      <c r="D24" s="10"/>
      <c r="E24" s="10"/>
      <c r="F24" s="10"/>
      <c r="G24" s="11"/>
      <c r="H24" s="11">
        <v>35.36</v>
      </c>
      <c r="I24" s="11"/>
      <c r="J24" s="11"/>
      <c r="K24" s="11">
        <v>70.73</v>
      </c>
      <c r="L24" s="12">
        <f t="shared" si="1"/>
        <v>106.09</v>
      </c>
    </row>
    <row r="25" spans="1:12" x14ac:dyDescent="0.3">
      <c r="A25" s="9">
        <v>44440</v>
      </c>
      <c r="B25" s="10"/>
      <c r="C25" s="10"/>
      <c r="D25" s="10"/>
      <c r="E25" s="10"/>
      <c r="F25" s="10"/>
      <c r="G25" s="11"/>
      <c r="H25" s="11"/>
      <c r="I25" s="11"/>
      <c r="J25" s="11"/>
      <c r="K25" s="11">
        <v>70.73</v>
      </c>
      <c r="L25" s="12">
        <f t="shared" si="1"/>
        <v>70.73</v>
      </c>
    </row>
    <row r="26" spans="1:12" x14ac:dyDescent="0.3">
      <c r="A26" s="9">
        <v>44470</v>
      </c>
      <c r="B26" s="10"/>
      <c r="C26" s="10"/>
      <c r="D26" s="10"/>
      <c r="E26" s="10"/>
      <c r="F26" s="10"/>
      <c r="G26" s="11"/>
      <c r="H26" s="11"/>
      <c r="I26" s="11"/>
      <c r="J26" s="11"/>
      <c r="K26" s="11">
        <v>70.73</v>
      </c>
      <c r="L26" s="12">
        <f t="shared" si="1"/>
        <v>70.73</v>
      </c>
    </row>
    <row r="27" spans="1:12" x14ac:dyDescent="0.3">
      <c r="A27" s="9">
        <v>44501</v>
      </c>
      <c r="B27" s="10"/>
      <c r="C27" s="10"/>
      <c r="D27" s="10"/>
      <c r="E27" s="10"/>
      <c r="F27" s="10"/>
      <c r="G27" s="11"/>
      <c r="H27" s="11"/>
      <c r="I27" s="11"/>
      <c r="J27" s="11"/>
      <c r="K27" s="11">
        <v>70.73</v>
      </c>
      <c r="L27" s="12">
        <f t="shared" si="1"/>
        <v>70.73</v>
      </c>
    </row>
    <row r="28" spans="1:12" x14ac:dyDescent="0.3">
      <c r="A28" s="9">
        <v>44531</v>
      </c>
      <c r="B28" s="10"/>
      <c r="C28" s="10"/>
      <c r="D28" s="10"/>
      <c r="E28" s="10">
        <v>11.78</v>
      </c>
      <c r="F28" s="10"/>
      <c r="G28" s="11"/>
      <c r="H28" s="11"/>
      <c r="I28" s="11"/>
      <c r="J28" s="11"/>
      <c r="K28" s="11">
        <v>70.73</v>
      </c>
      <c r="L28" s="12">
        <f t="shared" si="1"/>
        <v>82.51</v>
      </c>
    </row>
    <row r="29" spans="1:12" ht="8.25" customHeight="1" x14ac:dyDescent="0.3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x14ac:dyDescent="0.3">
      <c r="A30" s="9">
        <v>44562</v>
      </c>
      <c r="B30" s="13"/>
      <c r="C30" s="13"/>
      <c r="D30" s="13"/>
      <c r="E30" s="10">
        <f>(11.78) + 2.18</f>
        <v>13.959999999999999</v>
      </c>
      <c r="F30" s="13"/>
      <c r="G30" s="14">
        <v>0.36</v>
      </c>
      <c r="H30" s="14"/>
      <c r="I30" s="14"/>
      <c r="J30" s="14"/>
      <c r="K30" s="11">
        <f xml:space="preserve"> (70.73) + 13.06</f>
        <v>83.79</v>
      </c>
      <c r="L30" s="12">
        <f>SUM(B30:K30)</f>
        <v>98.11</v>
      </c>
    </row>
    <row r="31" spans="1:12" x14ac:dyDescent="0.3">
      <c r="A31" s="9">
        <v>44593</v>
      </c>
      <c r="B31" s="13"/>
      <c r="C31" s="10"/>
      <c r="D31" s="10"/>
      <c r="E31" s="10">
        <f>(11.78) + 2.44</f>
        <v>14.219999999999999</v>
      </c>
      <c r="F31" s="10"/>
      <c r="G31" s="10"/>
      <c r="H31" s="10"/>
      <c r="I31" s="10"/>
      <c r="J31" s="10"/>
      <c r="K31" s="11">
        <f>(70.73) + 14.62</f>
        <v>85.350000000000009</v>
      </c>
      <c r="L31" s="12">
        <f t="shared" ref="L31:L41" si="2">SUM(B31:K31)</f>
        <v>99.570000000000007</v>
      </c>
    </row>
    <row r="32" spans="1:12" x14ac:dyDescent="0.3">
      <c r="A32" s="9">
        <v>44621</v>
      </c>
      <c r="B32" s="10"/>
      <c r="C32" s="10">
        <v>0.23</v>
      </c>
      <c r="D32" s="10"/>
      <c r="E32" s="10">
        <f>(13.43) + 2.49</f>
        <v>15.92</v>
      </c>
      <c r="F32" s="10"/>
      <c r="G32" s="10">
        <v>0.03</v>
      </c>
      <c r="H32" s="10"/>
      <c r="I32" s="10"/>
      <c r="J32" s="10"/>
      <c r="K32" s="11">
        <f>(80.63) + 14.96</f>
        <v>95.59</v>
      </c>
      <c r="L32" s="12">
        <f>SUM(B32:K32)</f>
        <v>111.77000000000001</v>
      </c>
    </row>
    <row r="33" spans="1:12" x14ac:dyDescent="0.3">
      <c r="A33" s="9">
        <v>44652</v>
      </c>
      <c r="B33" s="10">
        <v>2.17</v>
      </c>
      <c r="C33" s="10"/>
      <c r="D33" s="10"/>
      <c r="E33" s="10">
        <v>13.36</v>
      </c>
      <c r="F33" s="10"/>
      <c r="G33" s="10"/>
      <c r="H33" s="10"/>
      <c r="I33" s="10"/>
      <c r="J33" s="10"/>
      <c r="K33" s="11">
        <v>80.19</v>
      </c>
      <c r="L33" s="12">
        <f t="shared" si="2"/>
        <v>95.72</v>
      </c>
    </row>
    <row r="34" spans="1:12" x14ac:dyDescent="0.3">
      <c r="A34" s="9">
        <v>44682</v>
      </c>
      <c r="B34" s="10"/>
      <c r="C34" s="10"/>
      <c r="D34" s="10"/>
      <c r="E34" s="10"/>
      <c r="F34" s="10"/>
      <c r="G34" s="10"/>
      <c r="H34" s="10"/>
      <c r="I34" s="10"/>
      <c r="J34" s="10"/>
      <c r="K34" s="11">
        <v>95.15</v>
      </c>
      <c r="L34" s="12">
        <f t="shared" si="2"/>
        <v>95.15</v>
      </c>
    </row>
    <row r="35" spans="1:12" x14ac:dyDescent="0.3">
      <c r="A35" s="9">
        <v>44713</v>
      </c>
      <c r="B35" s="10"/>
      <c r="C35" s="10"/>
      <c r="D35" s="10"/>
      <c r="E35" s="10"/>
      <c r="F35" s="10"/>
      <c r="G35" s="10"/>
      <c r="H35" s="10"/>
      <c r="I35" s="10"/>
      <c r="J35" s="10"/>
      <c r="K35" s="11">
        <v>95.15</v>
      </c>
      <c r="L35" s="12">
        <f t="shared" si="2"/>
        <v>95.15</v>
      </c>
    </row>
    <row r="36" spans="1:12" x14ac:dyDescent="0.3">
      <c r="A36" s="9">
        <v>44743</v>
      </c>
      <c r="B36" s="10"/>
      <c r="C36" s="10"/>
      <c r="D36" s="10"/>
      <c r="E36" s="10"/>
      <c r="F36" s="10"/>
      <c r="G36" s="10"/>
      <c r="H36" s="10"/>
      <c r="I36" s="10"/>
      <c r="J36" s="10"/>
      <c r="K36" s="11">
        <v>95.15</v>
      </c>
      <c r="L36" s="12">
        <f t="shared" si="2"/>
        <v>95.15</v>
      </c>
    </row>
    <row r="37" spans="1:12" x14ac:dyDescent="0.3">
      <c r="A37" s="9">
        <v>44774</v>
      </c>
      <c r="B37" s="10"/>
      <c r="C37" s="10">
        <v>0.43</v>
      </c>
      <c r="D37" s="10"/>
      <c r="E37" s="10"/>
      <c r="F37" s="10"/>
      <c r="G37" s="11"/>
      <c r="H37" s="11">
        <v>48.88</v>
      </c>
      <c r="I37" s="11"/>
      <c r="J37" s="11"/>
      <c r="K37" s="11">
        <v>84.39</v>
      </c>
      <c r="L37" s="12">
        <f t="shared" si="2"/>
        <v>133.69999999999999</v>
      </c>
    </row>
    <row r="38" spans="1:12" x14ac:dyDescent="0.3">
      <c r="A38" s="9">
        <v>44805</v>
      </c>
      <c r="B38" s="10"/>
      <c r="C38" s="10"/>
      <c r="D38" s="10"/>
      <c r="E38" s="10"/>
      <c r="F38" s="10"/>
      <c r="G38" s="11"/>
      <c r="H38" s="11"/>
      <c r="I38" s="11"/>
      <c r="J38" s="11"/>
      <c r="K38" s="11">
        <v>84.39</v>
      </c>
      <c r="L38" s="12">
        <f t="shared" si="2"/>
        <v>84.39</v>
      </c>
    </row>
    <row r="39" spans="1:12" x14ac:dyDescent="0.3">
      <c r="A39" s="9">
        <v>44835</v>
      </c>
      <c r="B39" s="10"/>
      <c r="C39" s="10"/>
      <c r="D39" s="10"/>
      <c r="E39" s="10"/>
      <c r="F39" s="10"/>
      <c r="G39" s="11"/>
      <c r="H39" s="11"/>
      <c r="I39" s="11"/>
      <c r="J39" s="11"/>
      <c r="K39" s="11">
        <v>84.39</v>
      </c>
      <c r="L39" s="12">
        <f t="shared" si="2"/>
        <v>84.39</v>
      </c>
    </row>
    <row r="40" spans="1:12" x14ac:dyDescent="0.3">
      <c r="A40" s="9">
        <v>44866</v>
      </c>
      <c r="B40" s="10"/>
      <c r="C40" s="10"/>
      <c r="D40" s="10"/>
      <c r="E40" s="10"/>
      <c r="F40" s="10"/>
      <c r="G40" s="11"/>
      <c r="H40" s="11"/>
      <c r="I40" s="11"/>
      <c r="J40" s="11"/>
      <c r="K40" s="11">
        <v>84.39</v>
      </c>
      <c r="L40" s="12">
        <f t="shared" si="2"/>
        <v>84.39</v>
      </c>
    </row>
    <row r="41" spans="1:12" x14ac:dyDescent="0.3">
      <c r="A41" s="9">
        <v>44896</v>
      </c>
      <c r="B41" s="10"/>
      <c r="C41" s="10"/>
      <c r="D41" s="10"/>
      <c r="E41" s="10"/>
      <c r="F41" s="10"/>
      <c r="G41" s="11"/>
      <c r="H41" s="11"/>
      <c r="I41" s="11"/>
      <c r="J41" s="11"/>
      <c r="K41" s="11">
        <v>84.39</v>
      </c>
      <c r="L41" s="12">
        <f t="shared" si="2"/>
        <v>84.39</v>
      </c>
    </row>
    <row r="42" spans="1:12" ht="9" customHeight="1" x14ac:dyDescent="0.3">
      <c r="A42" s="15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7"/>
    </row>
    <row r="43" spans="1:12" x14ac:dyDescent="0.3">
      <c r="A43" s="9">
        <v>44927</v>
      </c>
      <c r="B43" s="13">
        <v>2.0099999999999998</v>
      </c>
      <c r="C43" s="13"/>
      <c r="D43" s="13"/>
      <c r="E43" s="10"/>
      <c r="F43" s="13"/>
      <c r="G43" s="14"/>
      <c r="H43" s="14"/>
      <c r="I43" s="14"/>
      <c r="J43" s="14"/>
      <c r="K43" s="11">
        <f>(84.39) + 12.07</f>
        <v>96.460000000000008</v>
      </c>
      <c r="L43" s="12">
        <f>SUM(B43:K43)</f>
        <v>98.470000000000013</v>
      </c>
    </row>
    <row r="44" spans="1:12" x14ac:dyDescent="0.3">
      <c r="A44" s="9">
        <v>44958</v>
      </c>
      <c r="B44" s="13"/>
      <c r="C44" s="10"/>
      <c r="D44" s="10"/>
      <c r="E44" s="10"/>
      <c r="F44" s="10"/>
      <c r="G44" s="10"/>
      <c r="H44" s="10"/>
      <c r="I44" s="10"/>
      <c r="J44" s="10"/>
      <c r="K44" s="11">
        <f>(84.39) + 10.78</f>
        <v>95.17</v>
      </c>
      <c r="L44" s="12">
        <f t="shared" ref="L44:L53" si="3">SUM(B44:K44)</f>
        <v>95.17</v>
      </c>
    </row>
    <row r="45" spans="1:12" x14ac:dyDescent="0.3">
      <c r="A45" s="9">
        <v>44986</v>
      </c>
      <c r="B45" s="10"/>
      <c r="C45" s="10"/>
      <c r="D45" s="10"/>
      <c r="E45" s="10"/>
      <c r="F45" s="10"/>
      <c r="G45" s="10"/>
      <c r="H45" s="10"/>
      <c r="I45" s="10"/>
      <c r="J45" s="10"/>
      <c r="K45" s="11">
        <v>75.349999999999994</v>
      </c>
      <c r="L45" s="12">
        <f t="shared" si="3"/>
        <v>75.349999999999994</v>
      </c>
    </row>
    <row r="46" spans="1:12" x14ac:dyDescent="0.3">
      <c r="A46" s="9">
        <v>45017</v>
      </c>
      <c r="B46" s="10"/>
      <c r="C46" s="10"/>
      <c r="D46" s="10"/>
      <c r="E46" s="10"/>
      <c r="F46" s="10"/>
      <c r="G46" s="10"/>
      <c r="H46" s="10"/>
      <c r="I46" s="10"/>
      <c r="J46" s="10"/>
      <c r="K46" s="11">
        <v>93.83</v>
      </c>
      <c r="L46" s="12">
        <f t="shared" si="3"/>
        <v>93.83</v>
      </c>
    </row>
    <row r="47" spans="1:12" x14ac:dyDescent="0.3">
      <c r="A47" s="9">
        <v>45047</v>
      </c>
      <c r="B47" s="10"/>
      <c r="C47" s="10"/>
      <c r="D47" s="10"/>
      <c r="E47" s="10"/>
      <c r="F47" s="10"/>
      <c r="G47" s="10"/>
      <c r="H47" s="10"/>
      <c r="I47" s="10"/>
      <c r="J47" s="10"/>
      <c r="K47" s="11">
        <v>89.38</v>
      </c>
      <c r="L47" s="12">
        <f t="shared" si="3"/>
        <v>89.38</v>
      </c>
    </row>
    <row r="48" spans="1:12" x14ac:dyDescent="0.3">
      <c r="A48" s="9">
        <v>45078</v>
      </c>
      <c r="B48" s="10"/>
      <c r="C48" s="10"/>
      <c r="D48" s="10"/>
      <c r="E48" s="10"/>
      <c r="F48" s="10"/>
      <c r="G48" s="10"/>
      <c r="H48" s="10"/>
      <c r="I48" s="10"/>
      <c r="J48" s="10"/>
      <c r="K48" s="11">
        <v>89.38</v>
      </c>
      <c r="L48" s="12">
        <f t="shared" si="3"/>
        <v>89.38</v>
      </c>
    </row>
    <row r="49" spans="1:12" x14ac:dyDescent="0.3">
      <c r="A49" s="9">
        <v>45108</v>
      </c>
      <c r="B49" s="10"/>
      <c r="C49" s="10">
        <v>16.809999999999999</v>
      </c>
      <c r="D49" s="10"/>
      <c r="E49" s="10"/>
      <c r="F49" s="10"/>
      <c r="G49" s="10"/>
      <c r="H49" s="10"/>
      <c r="I49" s="10"/>
      <c r="J49" s="10"/>
      <c r="K49" s="11">
        <v>89.38</v>
      </c>
      <c r="L49" s="12">
        <f t="shared" si="3"/>
        <v>106.19</v>
      </c>
    </row>
    <row r="50" spans="1:12" x14ac:dyDescent="0.3">
      <c r="A50" s="9">
        <v>45139</v>
      </c>
      <c r="B50" s="10"/>
      <c r="C50" s="10">
        <v>0.26</v>
      </c>
      <c r="D50" s="10"/>
      <c r="E50" s="10"/>
      <c r="F50" s="10"/>
      <c r="G50" s="11"/>
      <c r="H50" s="11">
        <v>51.23</v>
      </c>
      <c r="I50" s="11"/>
      <c r="J50" s="11"/>
      <c r="K50" s="11">
        <v>89.76</v>
      </c>
      <c r="L50" s="12">
        <f t="shared" si="3"/>
        <v>141.25</v>
      </c>
    </row>
    <row r="51" spans="1:12" x14ac:dyDescent="0.3">
      <c r="A51" s="9">
        <v>45170</v>
      </c>
      <c r="B51" s="10"/>
      <c r="C51" s="10"/>
      <c r="D51" s="10"/>
      <c r="E51" s="10"/>
      <c r="F51" s="10"/>
      <c r="G51" s="11"/>
      <c r="H51" s="11"/>
      <c r="I51" s="11"/>
      <c r="J51" s="11"/>
      <c r="K51" s="11">
        <v>89.76</v>
      </c>
      <c r="L51" s="12">
        <f t="shared" si="3"/>
        <v>89.76</v>
      </c>
    </row>
    <row r="52" spans="1:12" x14ac:dyDescent="0.3">
      <c r="A52" s="9">
        <v>45200</v>
      </c>
      <c r="B52" s="10"/>
      <c r="C52" s="10"/>
      <c r="D52" s="10"/>
      <c r="E52" s="10"/>
      <c r="F52" s="10"/>
      <c r="G52" s="11"/>
      <c r="H52" s="11"/>
      <c r="I52" s="11"/>
      <c r="J52" s="11"/>
      <c r="K52" s="11">
        <v>89.76</v>
      </c>
      <c r="L52" s="12">
        <f t="shared" si="3"/>
        <v>89.76</v>
      </c>
    </row>
    <row r="53" spans="1:12" x14ac:dyDescent="0.3">
      <c r="A53" s="9">
        <v>45231</v>
      </c>
      <c r="B53" s="10"/>
      <c r="C53" s="10"/>
      <c r="D53" s="10"/>
      <c r="E53" s="10"/>
      <c r="F53" s="10"/>
      <c r="G53" s="11"/>
      <c r="H53" s="11"/>
      <c r="I53" s="11"/>
      <c r="J53" s="11"/>
      <c r="K53" s="11">
        <v>89.76</v>
      </c>
      <c r="L53" s="12">
        <f t="shared" si="3"/>
        <v>89.76</v>
      </c>
    </row>
    <row r="54" spans="1:12" x14ac:dyDescent="0.3">
      <c r="A54" s="9">
        <v>45261</v>
      </c>
      <c r="B54" s="10"/>
      <c r="C54" s="10"/>
      <c r="D54" s="10"/>
      <c r="E54" s="10"/>
      <c r="F54" s="10"/>
      <c r="G54" s="11"/>
      <c r="H54" s="11"/>
      <c r="I54" s="11"/>
      <c r="J54" s="11"/>
      <c r="K54" s="11">
        <v>89.76</v>
      </c>
      <c r="L54" s="12">
        <f>SUM(B54:K54)</f>
        <v>89.76</v>
      </c>
    </row>
    <row r="55" spans="1:12" ht="12" customHeight="1" x14ac:dyDescent="0.3">
      <c r="A55" s="15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7"/>
    </row>
    <row r="56" spans="1:12" x14ac:dyDescent="0.3">
      <c r="A56" s="9">
        <v>45292</v>
      </c>
      <c r="B56" s="13"/>
      <c r="C56" s="13">
        <v>0.5</v>
      </c>
      <c r="D56" s="13"/>
      <c r="E56" s="10"/>
      <c r="F56" s="13"/>
      <c r="G56" s="14"/>
      <c r="H56" s="14"/>
      <c r="I56" s="14"/>
      <c r="J56" s="14"/>
      <c r="K56" s="11">
        <f>(89.76)+3</f>
        <v>92.76</v>
      </c>
      <c r="L56" s="12">
        <f>SUM(B56:K56)</f>
        <v>93.26</v>
      </c>
    </row>
    <row r="57" spans="1:12" x14ac:dyDescent="0.3">
      <c r="A57" s="9">
        <v>45323</v>
      </c>
      <c r="B57" s="13"/>
      <c r="C57" s="10">
        <v>0.2</v>
      </c>
      <c r="D57" s="10"/>
      <c r="E57" s="10"/>
      <c r="F57" s="10"/>
      <c r="G57" s="10"/>
      <c r="H57" s="10"/>
      <c r="I57" s="10"/>
      <c r="J57" s="10"/>
      <c r="K57" s="11">
        <f t="shared" ref="K57:K62" si="4">(89.76)+3</f>
        <v>92.76</v>
      </c>
      <c r="L57" s="12">
        <f t="shared" ref="L57:L67" si="5">SUM(B57:K57)</f>
        <v>92.960000000000008</v>
      </c>
    </row>
    <row r="58" spans="1:12" x14ac:dyDescent="0.3">
      <c r="A58" s="9">
        <v>45352</v>
      </c>
      <c r="B58" s="10"/>
      <c r="C58" s="10"/>
      <c r="D58" s="10"/>
      <c r="E58" s="10"/>
      <c r="F58" s="10"/>
      <c r="G58" s="10"/>
      <c r="H58" s="10"/>
      <c r="I58" s="10"/>
      <c r="J58" s="10"/>
      <c r="K58" s="11">
        <f t="shared" si="4"/>
        <v>92.76</v>
      </c>
      <c r="L58" s="12">
        <f t="shared" si="5"/>
        <v>92.76</v>
      </c>
    </row>
    <row r="59" spans="1:12" x14ac:dyDescent="0.3">
      <c r="A59" s="9">
        <v>45383</v>
      </c>
      <c r="B59" s="10"/>
      <c r="C59" s="10"/>
      <c r="D59" s="10"/>
      <c r="E59" s="10"/>
      <c r="F59" s="10"/>
      <c r="G59" s="10"/>
      <c r="H59" s="10"/>
      <c r="I59" s="10"/>
      <c r="J59" s="10"/>
      <c r="K59" s="11">
        <f t="shared" si="4"/>
        <v>92.76</v>
      </c>
      <c r="L59" s="12">
        <f>SUM(B59:K59)</f>
        <v>92.76</v>
      </c>
    </row>
    <row r="60" spans="1:12" x14ac:dyDescent="0.3">
      <c r="A60" s="9">
        <v>45413</v>
      </c>
      <c r="B60" s="10"/>
      <c r="C60" s="10"/>
      <c r="D60" s="10"/>
      <c r="E60" s="10"/>
      <c r="F60" s="10"/>
      <c r="G60" s="10"/>
      <c r="H60" s="10"/>
      <c r="I60" s="10"/>
      <c r="J60" s="10"/>
      <c r="K60" s="11">
        <f t="shared" si="4"/>
        <v>92.76</v>
      </c>
      <c r="L60" s="12">
        <f t="shared" si="5"/>
        <v>92.76</v>
      </c>
    </row>
    <row r="61" spans="1:12" x14ac:dyDescent="0.3">
      <c r="A61" s="9" t="s">
        <v>15</v>
      </c>
      <c r="B61" s="10"/>
      <c r="C61" s="10">
        <v>0.5</v>
      </c>
      <c r="D61" s="10"/>
      <c r="E61" s="10"/>
      <c r="F61" s="10"/>
      <c r="G61" s="10"/>
      <c r="H61" s="10"/>
      <c r="I61" s="10"/>
      <c r="J61" s="10"/>
      <c r="K61" s="11">
        <f t="shared" si="4"/>
        <v>92.76</v>
      </c>
      <c r="L61" s="12">
        <f t="shared" si="5"/>
        <v>93.26</v>
      </c>
    </row>
    <row r="62" spans="1:12" x14ac:dyDescent="0.3">
      <c r="A62" s="9">
        <v>45474</v>
      </c>
      <c r="B62" s="10"/>
      <c r="C62" s="10">
        <v>16.93</v>
      </c>
      <c r="D62" s="10"/>
      <c r="E62" s="10"/>
      <c r="F62" s="10"/>
      <c r="G62" s="10"/>
      <c r="H62" s="10">
        <v>1.5</v>
      </c>
      <c r="I62" s="10"/>
      <c r="J62" s="10"/>
      <c r="K62" s="11">
        <f t="shared" si="4"/>
        <v>92.76</v>
      </c>
      <c r="L62" s="12">
        <f t="shared" si="5"/>
        <v>111.19</v>
      </c>
    </row>
    <row r="63" spans="1:12" x14ac:dyDescent="0.3">
      <c r="A63" s="9">
        <v>45505</v>
      </c>
      <c r="B63" s="10"/>
      <c r="C63" s="10">
        <v>0.31</v>
      </c>
      <c r="D63" s="10"/>
      <c r="E63" s="10"/>
      <c r="F63" s="10"/>
      <c r="G63" s="11"/>
      <c r="H63" s="11">
        <v>49.87</v>
      </c>
      <c r="I63" s="11"/>
      <c r="J63" s="11"/>
      <c r="K63" s="11">
        <v>89.76</v>
      </c>
      <c r="L63" s="12">
        <f t="shared" si="5"/>
        <v>139.94</v>
      </c>
    </row>
    <row r="64" spans="1:12" x14ac:dyDescent="0.3">
      <c r="A64" s="9">
        <v>45536</v>
      </c>
      <c r="B64" s="10"/>
      <c r="C64" s="10"/>
      <c r="D64" s="10"/>
      <c r="E64" s="10"/>
      <c r="F64" s="10"/>
      <c r="G64" s="11"/>
      <c r="H64" s="11"/>
      <c r="I64" s="11"/>
      <c r="J64" s="11"/>
      <c r="K64" s="11">
        <v>92.76</v>
      </c>
      <c r="L64" s="12">
        <f t="shared" si="5"/>
        <v>92.76</v>
      </c>
    </row>
    <row r="65" spans="1:12" x14ac:dyDescent="0.3">
      <c r="A65" s="9">
        <v>45566</v>
      </c>
      <c r="B65" s="10"/>
      <c r="C65" s="10"/>
      <c r="D65" s="10"/>
      <c r="E65" s="10"/>
      <c r="F65" s="10"/>
      <c r="G65" s="11"/>
      <c r="H65" s="11"/>
      <c r="I65" s="11"/>
      <c r="J65" s="11"/>
      <c r="K65" s="11">
        <v>92.76</v>
      </c>
      <c r="L65" s="12">
        <f t="shared" si="5"/>
        <v>92.76</v>
      </c>
    </row>
    <row r="66" spans="1:12" x14ac:dyDescent="0.3">
      <c r="A66" s="9">
        <v>45597</v>
      </c>
      <c r="B66" s="10"/>
      <c r="C66" s="10"/>
      <c r="D66" s="10"/>
      <c r="E66" s="10"/>
      <c r="F66" s="10"/>
      <c r="G66" s="11"/>
      <c r="H66" s="11"/>
      <c r="I66" s="11"/>
      <c r="J66" s="11"/>
      <c r="K66" s="11">
        <v>92.76</v>
      </c>
      <c r="L66" s="12">
        <f t="shared" si="5"/>
        <v>92.76</v>
      </c>
    </row>
    <row r="67" spans="1:12" x14ac:dyDescent="0.3">
      <c r="A67" s="9">
        <v>45627</v>
      </c>
      <c r="B67" s="10"/>
      <c r="C67" s="10"/>
      <c r="D67" s="10"/>
      <c r="E67" s="10"/>
      <c r="F67" s="10"/>
      <c r="G67" s="11"/>
      <c r="H67" s="10"/>
      <c r="I67" s="11"/>
      <c r="J67" s="10"/>
      <c r="K67" s="11">
        <v>92.76</v>
      </c>
      <c r="L67" s="12">
        <f t="shared" si="5"/>
        <v>92.76</v>
      </c>
    </row>
    <row r="68" spans="1:12" ht="10.8" customHeight="1" x14ac:dyDescent="0.3">
      <c r="A68" s="25"/>
      <c r="B68" s="26"/>
      <c r="C68" s="26"/>
      <c r="D68" s="26"/>
      <c r="E68" s="26"/>
      <c r="F68" s="26"/>
      <c r="G68" s="27"/>
      <c r="H68" s="26"/>
      <c r="I68" s="27"/>
      <c r="J68" s="26"/>
      <c r="K68" s="27"/>
      <c r="L68" s="24"/>
    </row>
    <row r="69" spans="1:12" x14ac:dyDescent="0.3">
      <c r="A69" s="9">
        <v>45658</v>
      </c>
      <c r="B69" s="13">
        <v>0.59</v>
      </c>
      <c r="C69" s="13"/>
      <c r="D69" s="13"/>
      <c r="E69" s="10"/>
      <c r="F69" s="13"/>
      <c r="G69" s="14"/>
      <c r="H69" s="14"/>
      <c r="I69" s="14"/>
      <c r="J69" s="14"/>
      <c r="K69" s="11">
        <f>(92.76) + 5.39</f>
        <v>98.15</v>
      </c>
      <c r="L69" s="12">
        <f>SUM(B69:K69)</f>
        <v>98.740000000000009</v>
      </c>
    </row>
    <row r="70" spans="1:12" x14ac:dyDescent="0.3">
      <c r="A70" s="9">
        <v>45689</v>
      </c>
      <c r="B70" s="13"/>
      <c r="C70" s="10"/>
      <c r="D70" s="10"/>
      <c r="E70" s="10"/>
      <c r="F70" s="10"/>
      <c r="G70" s="10"/>
      <c r="H70" s="10"/>
      <c r="I70" s="10"/>
      <c r="J70" s="10"/>
      <c r="K70" s="11">
        <f>(92.76) + 5.39</f>
        <v>98.15</v>
      </c>
      <c r="L70" s="12">
        <f t="shared" ref="L70:L71" si="6">SUM(B70:K70)</f>
        <v>98.15</v>
      </c>
    </row>
    <row r="71" spans="1:12" x14ac:dyDescent="0.3">
      <c r="A71" s="9">
        <v>45717</v>
      </c>
      <c r="B71" s="10"/>
      <c r="C71" s="10"/>
      <c r="D71" s="10"/>
      <c r="E71" s="10"/>
      <c r="F71" s="10"/>
      <c r="G71" s="10"/>
      <c r="H71" s="10"/>
      <c r="I71" s="10"/>
      <c r="J71" s="10"/>
      <c r="K71" s="11">
        <f>(92.9) + 5.38</f>
        <v>98.28</v>
      </c>
      <c r="L71" s="12">
        <f t="shared" si="6"/>
        <v>98.28</v>
      </c>
    </row>
    <row r="72" spans="1:12" x14ac:dyDescent="0.3">
      <c r="A72" s="9">
        <v>45748</v>
      </c>
      <c r="B72" s="10"/>
      <c r="C72" s="10"/>
      <c r="D72" s="10"/>
      <c r="E72" s="10"/>
      <c r="F72" s="10"/>
      <c r="G72" s="10"/>
      <c r="H72" s="10"/>
      <c r="I72" s="10"/>
      <c r="J72" s="10"/>
      <c r="K72" s="11">
        <v>92.71</v>
      </c>
      <c r="L72" s="12">
        <f>SUM(B72:K72)</f>
        <v>92.71</v>
      </c>
    </row>
    <row r="73" spans="1:12" x14ac:dyDescent="0.3">
      <c r="A73" s="9">
        <v>45778</v>
      </c>
      <c r="B73" s="10"/>
      <c r="C73" s="10"/>
      <c r="D73" s="10"/>
      <c r="E73" s="10"/>
      <c r="F73" s="10"/>
      <c r="G73" s="10"/>
      <c r="H73" s="10"/>
      <c r="I73" s="10"/>
      <c r="J73" s="10"/>
      <c r="K73" s="11">
        <v>98.09</v>
      </c>
      <c r="L73" s="12">
        <f t="shared" ref="L73:L80" si="7">SUM(B73:K73)</f>
        <v>98.09</v>
      </c>
    </row>
    <row r="74" spans="1:12" x14ac:dyDescent="0.3">
      <c r="A74" s="9">
        <v>45809</v>
      </c>
      <c r="B74" s="10"/>
      <c r="C74" s="10"/>
      <c r="D74" s="10"/>
      <c r="E74" s="10"/>
      <c r="F74" s="10"/>
      <c r="G74" s="10"/>
      <c r="H74" s="10"/>
      <c r="I74" s="10"/>
      <c r="J74" s="10"/>
      <c r="K74" s="11">
        <v>98.12</v>
      </c>
      <c r="L74" s="12">
        <f t="shared" si="7"/>
        <v>98.12</v>
      </c>
    </row>
    <row r="75" spans="1:12" x14ac:dyDescent="0.3">
      <c r="A75" s="9">
        <v>45839</v>
      </c>
      <c r="B75" s="10"/>
      <c r="C75" s="10">
        <v>12.35</v>
      </c>
      <c r="D75" s="10"/>
      <c r="E75" s="10"/>
      <c r="F75" s="10"/>
      <c r="G75" s="10"/>
      <c r="H75" s="10"/>
      <c r="I75" s="10"/>
      <c r="J75" s="10"/>
      <c r="K75" s="11">
        <v>140.29</v>
      </c>
      <c r="L75" s="12">
        <f t="shared" si="7"/>
        <v>152.63999999999999</v>
      </c>
    </row>
    <row r="76" spans="1:12" x14ac:dyDescent="0.3">
      <c r="A76" s="9">
        <v>45870</v>
      </c>
      <c r="B76" s="10"/>
      <c r="C76" s="10">
        <v>0.08</v>
      </c>
      <c r="D76" s="10"/>
      <c r="E76" s="10"/>
      <c r="F76" s="10"/>
      <c r="G76" s="11"/>
      <c r="H76" s="11">
        <v>55.99</v>
      </c>
      <c r="I76" s="11"/>
      <c r="J76" s="11"/>
      <c r="K76" s="11">
        <v>98.86</v>
      </c>
      <c r="L76" s="12">
        <f t="shared" si="7"/>
        <v>154.93</v>
      </c>
    </row>
    <row r="77" spans="1:12" x14ac:dyDescent="0.3">
      <c r="A77" s="9">
        <v>45901</v>
      </c>
      <c r="B77" s="10"/>
      <c r="C77" s="10"/>
      <c r="D77" s="10"/>
      <c r="E77" s="10"/>
      <c r="F77" s="10"/>
      <c r="G77" s="11"/>
      <c r="H77" s="11"/>
      <c r="I77" s="11"/>
      <c r="J77" s="11"/>
      <c r="K77" s="11">
        <v>98.95</v>
      </c>
      <c r="L77" s="12">
        <f t="shared" si="7"/>
        <v>98.95</v>
      </c>
    </row>
    <row r="78" spans="1:12" x14ac:dyDescent="0.3">
      <c r="A78" s="9">
        <v>45931</v>
      </c>
      <c r="B78" s="10"/>
      <c r="C78" s="10"/>
      <c r="D78" s="10"/>
      <c r="E78" s="10"/>
      <c r="F78" s="10"/>
      <c r="G78" s="11"/>
      <c r="H78" s="11"/>
      <c r="I78" s="11"/>
      <c r="J78" s="11"/>
      <c r="K78" s="11">
        <v>98.95</v>
      </c>
      <c r="L78" s="12">
        <f t="shared" si="7"/>
        <v>98.95</v>
      </c>
    </row>
    <row r="79" spans="1:12" x14ac:dyDescent="0.3">
      <c r="A79" s="9">
        <v>45962</v>
      </c>
      <c r="B79" s="10"/>
      <c r="C79" s="10"/>
      <c r="D79" s="10"/>
      <c r="E79" s="10"/>
      <c r="F79" s="10"/>
      <c r="G79" s="11"/>
      <c r="H79" s="11"/>
      <c r="I79" s="11"/>
      <c r="J79" s="11"/>
      <c r="K79" s="11">
        <v>98.95</v>
      </c>
      <c r="L79" s="12">
        <f t="shared" si="7"/>
        <v>98.95</v>
      </c>
    </row>
    <row r="80" spans="1:12" x14ac:dyDescent="0.3">
      <c r="A80" s="9">
        <v>45992</v>
      </c>
      <c r="B80" s="10"/>
      <c r="C80" s="10"/>
      <c r="D80" s="10"/>
      <c r="E80" s="10"/>
      <c r="F80" s="10"/>
      <c r="G80" s="11"/>
      <c r="H80" s="10"/>
      <c r="I80" s="11"/>
      <c r="J80" s="10"/>
      <c r="K80" s="11">
        <v>98.95</v>
      </c>
      <c r="L80" s="12">
        <f>SUM(B80:K80)</f>
        <v>98.95</v>
      </c>
    </row>
    <row r="81" spans="1:12" x14ac:dyDescent="0.3">
      <c r="A81" s="34"/>
      <c r="B81" s="26"/>
      <c r="C81" s="26"/>
      <c r="D81" s="26"/>
      <c r="E81" s="26"/>
      <c r="F81" s="26"/>
      <c r="G81" s="27"/>
      <c r="H81" s="26"/>
      <c r="I81" s="27"/>
      <c r="J81" s="26"/>
      <c r="K81" s="27"/>
      <c r="L81" s="24"/>
    </row>
    <row r="82" spans="1:12" x14ac:dyDescent="0.3">
      <c r="A82" s="38">
        <v>46023</v>
      </c>
      <c r="B82" s="10"/>
      <c r="C82" s="10"/>
      <c r="D82" s="10"/>
      <c r="E82" s="10"/>
      <c r="F82" s="10"/>
      <c r="G82" s="11"/>
      <c r="H82" s="10"/>
      <c r="I82" s="11"/>
      <c r="J82" s="10"/>
      <c r="K82" s="11">
        <v>98.95</v>
      </c>
      <c r="L82" s="39">
        <f>SUM(B82:K82)</f>
        <v>98.95</v>
      </c>
    </row>
    <row r="83" spans="1:12" ht="18.600000000000001" thickBot="1" x14ac:dyDescent="0.4">
      <c r="A83"/>
      <c r="B83"/>
      <c r="C83"/>
      <c r="D83"/>
      <c r="E83"/>
      <c r="F83"/>
      <c r="G83"/>
      <c r="H83"/>
      <c r="I83"/>
      <c r="J83" s="35" t="s">
        <v>1</v>
      </c>
      <c r="K83" s="36"/>
      <c r="L83" s="37">
        <f>SUM(L17:L80)</f>
        <v>5651.2100000000028</v>
      </c>
    </row>
    <row r="84" spans="1:12" x14ac:dyDescent="0.3">
      <c r="A84"/>
      <c r="B84"/>
      <c r="C84"/>
      <c r="D84"/>
      <c r="E84"/>
      <c r="F84"/>
      <c r="G84"/>
      <c r="H84"/>
      <c r="I84"/>
    </row>
    <row r="85" spans="1:12" x14ac:dyDescent="0.3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3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3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3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3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3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3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3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3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3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3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3">
      <c r="A96"/>
      <c r="B96"/>
      <c r="C96"/>
      <c r="D96"/>
      <c r="E96"/>
      <c r="F96"/>
      <c r="G96"/>
      <c r="H96"/>
      <c r="I96"/>
      <c r="J96"/>
      <c r="K96"/>
      <c r="L96"/>
    </row>
  </sheetData>
  <mergeCells count="3">
    <mergeCell ref="J83:K83"/>
    <mergeCell ref="A1:L1"/>
    <mergeCell ref="A2:L2"/>
  </mergeCells>
  <conditionalFormatting sqref="C30:D30 F30 C37:D41 F37:F41">
    <cfRule type="cellIs" dxfId="5" priority="5" operator="lessThan">
      <formula>0</formula>
    </cfRule>
  </conditionalFormatting>
  <conditionalFormatting sqref="C43:D43 F43 C50:D54 F50:F54 C63:D64 C65 C66:D69">
    <cfRule type="cellIs" dxfId="4" priority="3" operator="lessThan">
      <formula>0</formula>
    </cfRule>
  </conditionalFormatting>
  <conditionalFormatting sqref="C56:D56 F56 F63:F69 C76:D82 F76:F82">
    <cfRule type="cellIs" dxfId="3" priority="1" operator="lessThan">
      <formula>0</formula>
    </cfRule>
  </conditionalFormatting>
  <conditionalFormatting sqref="C4:F4 C11:F15">
    <cfRule type="cellIs" dxfId="2" priority="7" operator="lessThan">
      <formula>0</formula>
    </cfRule>
  </conditionalFormatting>
  <conditionalFormatting sqref="C17:F17 C24:D28 F24:F28">
    <cfRule type="cellIs" dxfId="1" priority="6" operator="lessThan">
      <formula>0</formula>
    </cfRule>
  </conditionalFormatting>
  <conditionalFormatting sqref="C86:F93">
    <cfRule type="cellIs" dxfId="0" priority="15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scale="69" fitToHeight="0" orientation="landscape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3ed52c-266f-492f-88e8-84f81348c47b">
      <Terms xmlns="http://schemas.microsoft.com/office/infopath/2007/PartnerControls"/>
    </lcf76f155ced4ddcb4097134ff3c332f>
    <TaxCatchAll xmlns="dc94aee7-8efe-4bca-9fa5-7af462edec7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F30CFC7EF5D148946148E6F3FFC872" ma:contentTypeVersion="13" ma:contentTypeDescription="Crie um novo documento." ma:contentTypeScope="" ma:versionID="271c09e00277e97bc4c1b8b50e4626b7">
  <xsd:schema xmlns:xsd="http://www.w3.org/2001/XMLSchema" xmlns:xs="http://www.w3.org/2001/XMLSchema" xmlns:p="http://schemas.microsoft.com/office/2006/metadata/properties" xmlns:ns2="7e3ed52c-266f-492f-88e8-84f81348c47b" xmlns:ns3="dc94aee7-8efe-4bca-9fa5-7af462edec7a" targetNamespace="http://schemas.microsoft.com/office/2006/metadata/properties" ma:root="true" ma:fieldsID="4565eea3398ac44e98d149a686aaa7c3" ns2:_="" ns3:_="">
    <xsd:import namespace="7e3ed52c-266f-492f-88e8-84f81348c47b"/>
    <xsd:import namespace="dc94aee7-8efe-4bca-9fa5-7af462edec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ed52c-266f-492f-88e8-84f81348c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3b96153-487f-4f4b-bbb7-ab03517b1a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94aee7-8efe-4bca-9fa5-7af462edec7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fdc133-598e-40f7-b0e4-aef27b249d64}" ma:internalName="TaxCatchAll" ma:showField="CatchAllData" ma:web="dc94aee7-8efe-4bca-9fa5-7af462edec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6E9703-4BA5-4658-88BE-F8795928AB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DEAE2E-7D19-44DF-BB16-CE92E77A2125}">
  <ds:schemaRefs>
    <ds:schemaRef ds:uri="http://schemas.microsoft.com/office/2006/metadata/properties"/>
    <ds:schemaRef ds:uri="http://schemas.microsoft.com/office/infopath/2007/PartnerControls"/>
    <ds:schemaRef ds:uri="7e3ed52c-266f-492f-88e8-84f81348c47b"/>
    <ds:schemaRef ds:uri="dc94aee7-8efe-4bca-9fa5-7af462edec7a"/>
  </ds:schemaRefs>
</ds:datastoreItem>
</file>

<file path=customXml/itemProps3.xml><?xml version="1.0" encoding="utf-8"?>
<ds:datastoreItem xmlns:ds="http://schemas.openxmlformats.org/officeDocument/2006/customXml" ds:itemID="{87F64860-BBFE-4C26-BB01-FC7F10C6CD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3ed52c-266f-492f-88e8-84f81348c47b"/>
    <ds:schemaRef ds:uri="dc94aee7-8efe-4bca-9fa5-7af462edec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valeria pinheiro</cp:lastModifiedBy>
  <cp:revision/>
  <cp:lastPrinted>2026-01-26T17:57:18Z</cp:lastPrinted>
  <dcterms:created xsi:type="dcterms:W3CDTF">2021-08-02T15:08:15Z</dcterms:created>
  <dcterms:modified xsi:type="dcterms:W3CDTF">2026-01-26T18:15:09Z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0x01010001F30CFC7EF5D148946148E6F3FFC872</vt:lpwstr>
  </property>
</Properties>
</file>