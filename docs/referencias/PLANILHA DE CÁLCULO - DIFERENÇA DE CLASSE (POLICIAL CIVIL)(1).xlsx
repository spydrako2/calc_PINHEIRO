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inhe\Desktop\DIF CLASSE 2 - MAIRA CRISTINA FARIAS\"/>
    </mc:Choice>
  </mc:AlternateContent>
  <xr:revisionPtr revIDLastSave="0" documentId="13_ncr:1_{4CC14225-1AF6-4D52-84A9-2AD0383E4BFB}" xr6:coauthVersionLast="47" xr6:coauthVersionMax="47" xr10:uidLastSave="{00000000-0000-0000-0000-000000000000}"/>
  <bookViews>
    <workbookView xWindow="-28920" yWindow="-120" windowWidth="29040" windowHeight="15720" tabRatio="484" xr2:uid="{00000000-000D-0000-FFFF-FFFF00000000}"/>
  </bookViews>
  <sheets>
    <sheet name="Cálculo - ADPJ" sheetId="1" r:id="rId1"/>
  </sheets>
  <definedNames>
    <definedName name="Quin_1">#REF!</definedName>
    <definedName name="Quin_2">#REF!</definedName>
    <definedName name="Quin_3">#REF!</definedName>
    <definedName name="Quin_4">#REF!</definedName>
    <definedName name="Quin_5">#REF!</definedName>
    <definedName name="Quin_6">#REF!</definedName>
    <definedName name="Quin_7">#REF!</definedName>
    <definedName name="Quinquenio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F4" i="1"/>
  <c r="M225" i="1"/>
  <c r="J225" i="1"/>
  <c r="F225" i="1"/>
  <c r="M224" i="1"/>
  <c r="J224" i="1"/>
  <c r="F224" i="1"/>
  <c r="G224" i="1" s="1"/>
  <c r="H224" i="1" s="1"/>
  <c r="M211" i="1"/>
  <c r="J211" i="1"/>
  <c r="F211" i="1"/>
  <c r="M210" i="1"/>
  <c r="J210" i="1"/>
  <c r="F210" i="1"/>
  <c r="G210" i="1" s="1"/>
  <c r="H210" i="1" s="1"/>
  <c r="M197" i="1"/>
  <c r="J197" i="1"/>
  <c r="F197" i="1"/>
  <c r="G197" i="1" s="1"/>
  <c r="M196" i="1"/>
  <c r="J196" i="1"/>
  <c r="F196" i="1"/>
  <c r="G196" i="1" s="1"/>
  <c r="H196" i="1" s="1"/>
  <c r="M183" i="1"/>
  <c r="J183" i="1"/>
  <c r="F183" i="1"/>
  <c r="G183" i="1" s="1"/>
  <c r="M182" i="1"/>
  <c r="J182" i="1"/>
  <c r="F182" i="1"/>
  <c r="G182" i="1" s="1"/>
  <c r="H182" i="1" s="1"/>
  <c r="M169" i="1"/>
  <c r="J169" i="1"/>
  <c r="F169" i="1"/>
  <c r="G169" i="1" s="1"/>
  <c r="M168" i="1"/>
  <c r="J168" i="1"/>
  <c r="F168" i="1"/>
  <c r="G168" i="1" s="1"/>
  <c r="H168" i="1" s="1"/>
  <c r="J155" i="1"/>
  <c r="F155" i="1"/>
  <c r="G155" i="1" s="1"/>
  <c r="J154" i="1"/>
  <c r="F154" i="1"/>
  <c r="G154" i="1" s="1"/>
  <c r="H154" i="1" s="1"/>
  <c r="M141" i="1"/>
  <c r="J141" i="1"/>
  <c r="F141" i="1"/>
  <c r="M140" i="1"/>
  <c r="J140" i="1"/>
  <c r="F140" i="1"/>
  <c r="G140" i="1" s="1"/>
  <c r="H140" i="1" s="1"/>
  <c r="M127" i="1"/>
  <c r="J127" i="1"/>
  <c r="F127" i="1"/>
  <c r="M126" i="1"/>
  <c r="J126" i="1"/>
  <c r="F126" i="1"/>
  <c r="G126" i="1" s="1"/>
  <c r="H126" i="1" s="1"/>
  <c r="M223" i="1"/>
  <c r="J223" i="1"/>
  <c r="F223" i="1"/>
  <c r="M222" i="1"/>
  <c r="J222" i="1"/>
  <c r="F222" i="1"/>
  <c r="G222" i="1" s="1"/>
  <c r="M221" i="1"/>
  <c r="J221" i="1"/>
  <c r="F221" i="1"/>
  <c r="M220" i="1"/>
  <c r="J220" i="1"/>
  <c r="F220" i="1"/>
  <c r="M219" i="1"/>
  <c r="J219" i="1"/>
  <c r="F219" i="1"/>
  <c r="G219" i="1" s="1"/>
  <c r="H219" i="1" s="1"/>
  <c r="M218" i="1"/>
  <c r="J218" i="1"/>
  <c r="F218" i="1"/>
  <c r="M217" i="1"/>
  <c r="J217" i="1"/>
  <c r="F217" i="1"/>
  <c r="M216" i="1"/>
  <c r="J216" i="1"/>
  <c r="F216" i="1"/>
  <c r="M215" i="1"/>
  <c r="J215" i="1"/>
  <c r="F215" i="1"/>
  <c r="M214" i="1"/>
  <c r="J214" i="1"/>
  <c r="F214" i="1"/>
  <c r="M209" i="1"/>
  <c r="J209" i="1"/>
  <c r="F209" i="1"/>
  <c r="G209" i="1" s="1"/>
  <c r="M208" i="1"/>
  <c r="J208" i="1"/>
  <c r="F208" i="1"/>
  <c r="M207" i="1"/>
  <c r="J207" i="1"/>
  <c r="F207" i="1"/>
  <c r="M206" i="1"/>
  <c r="J206" i="1"/>
  <c r="F206" i="1"/>
  <c r="M205" i="1"/>
  <c r="J205" i="1"/>
  <c r="F205" i="1"/>
  <c r="G205" i="1" s="1"/>
  <c r="H205" i="1" s="1"/>
  <c r="M204" i="1"/>
  <c r="J204" i="1"/>
  <c r="F204" i="1"/>
  <c r="M203" i="1"/>
  <c r="J203" i="1"/>
  <c r="F203" i="1"/>
  <c r="M202" i="1"/>
  <c r="J202" i="1"/>
  <c r="F202" i="1"/>
  <c r="G202" i="1" s="1"/>
  <c r="M201" i="1"/>
  <c r="J201" i="1"/>
  <c r="F201" i="1"/>
  <c r="G201" i="1" s="1"/>
  <c r="M200" i="1"/>
  <c r="J200" i="1"/>
  <c r="F200" i="1"/>
  <c r="M195" i="1"/>
  <c r="J195" i="1"/>
  <c r="F195" i="1"/>
  <c r="M194" i="1"/>
  <c r="J194" i="1"/>
  <c r="F194" i="1"/>
  <c r="M193" i="1"/>
  <c r="J193" i="1"/>
  <c r="F193" i="1"/>
  <c r="M192" i="1"/>
  <c r="J192" i="1"/>
  <c r="F192" i="1"/>
  <c r="G192" i="1" s="1"/>
  <c r="M191" i="1"/>
  <c r="J191" i="1"/>
  <c r="F191" i="1"/>
  <c r="M190" i="1"/>
  <c r="J190" i="1"/>
  <c r="F190" i="1"/>
  <c r="G190" i="1" s="1"/>
  <c r="H190" i="1" s="1"/>
  <c r="M189" i="1"/>
  <c r="J189" i="1"/>
  <c r="F189" i="1"/>
  <c r="G189" i="1" s="1"/>
  <c r="H189" i="1" s="1"/>
  <c r="M188" i="1"/>
  <c r="J188" i="1"/>
  <c r="F188" i="1"/>
  <c r="M187" i="1"/>
  <c r="J187" i="1"/>
  <c r="F187" i="1"/>
  <c r="M186" i="1"/>
  <c r="J186" i="1"/>
  <c r="F186" i="1"/>
  <c r="M181" i="1"/>
  <c r="J181" i="1"/>
  <c r="F181" i="1"/>
  <c r="M180" i="1"/>
  <c r="J180" i="1"/>
  <c r="F180" i="1"/>
  <c r="M179" i="1"/>
  <c r="J179" i="1"/>
  <c r="F179" i="1"/>
  <c r="G179" i="1" s="1"/>
  <c r="M178" i="1"/>
  <c r="J178" i="1"/>
  <c r="F178" i="1"/>
  <c r="G178" i="1" s="1"/>
  <c r="M177" i="1"/>
  <c r="J177" i="1"/>
  <c r="F177" i="1"/>
  <c r="G177" i="1" s="1"/>
  <c r="H177" i="1" s="1"/>
  <c r="M176" i="1"/>
  <c r="J176" i="1"/>
  <c r="F176" i="1"/>
  <c r="G176" i="1" s="1"/>
  <c r="M175" i="1"/>
  <c r="J175" i="1"/>
  <c r="F175" i="1"/>
  <c r="M174" i="1"/>
  <c r="J174" i="1"/>
  <c r="F174" i="1"/>
  <c r="M173" i="1"/>
  <c r="J173" i="1"/>
  <c r="F173" i="1"/>
  <c r="M172" i="1"/>
  <c r="J172" i="1"/>
  <c r="F172" i="1"/>
  <c r="M167" i="1"/>
  <c r="J167" i="1"/>
  <c r="F167" i="1"/>
  <c r="M166" i="1"/>
  <c r="J166" i="1"/>
  <c r="F166" i="1"/>
  <c r="G166" i="1" s="1"/>
  <c r="M165" i="1"/>
  <c r="J165" i="1"/>
  <c r="F165" i="1"/>
  <c r="M164" i="1"/>
  <c r="J164" i="1"/>
  <c r="F164" i="1"/>
  <c r="M163" i="1"/>
  <c r="J163" i="1"/>
  <c r="F163" i="1"/>
  <c r="G163" i="1" s="1"/>
  <c r="H163" i="1" s="1"/>
  <c r="M162" i="1"/>
  <c r="J162" i="1"/>
  <c r="F162" i="1"/>
  <c r="G162" i="1" s="1"/>
  <c r="M161" i="1"/>
  <c r="J161" i="1"/>
  <c r="F161" i="1"/>
  <c r="M160" i="1"/>
  <c r="J160" i="1"/>
  <c r="F160" i="1"/>
  <c r="G160" i="1" s="1"/>
  <c r="M159" i="1"/>
  <c r="J159" i="1"/>
  <c r="F159" i="1"/>
  <c r="J158" i="1"/>
  <c r="F158" i="1"/>
  <c r="J153" i="1"/>
  <c r="F153" i="1"/>
  <c r="G153" i="1" s="1"/>
  <c r="J152" i="1"/>
  <c r="F152" i="1"/>
  <c r="J151" i="1"/>
  <c r="F151" i="1"/>
  <c r="G151" i="1" s="1"/>
  <c r="J150" i="1"/>
  <c r="F150" i="1"/>
  <c r="G150" i="1" s="1"/>
  <c r="H150" i="1" s="1"/>
  <c r="J149" i="1"/>
  <c r="F149" i="1"/>
  <c r="G149" i="1" s="1"/>
  <c r="H149" i="1" s="1"/>
  <c r="J148" i="1"/>
  <c r="F148" i="1"/>
  <c r="G148" i="1" s="1"/>
  <c r="J147" i="1"/>
  <c r="F147" i="1"/>
  <c r="J146" i="1"/>
  <c r="F146" i="1"/>
  <c r="G146" i="1" s="1"/>
  <c r="M145" i="1"/>
  <c r="J145" i="1"/>
  <c r="F145" i="1"/>
  <c r="G145" i="1" s="1"/>
  <c r="H145" i="1" s="1"/>
  <c r="M144" i="1"/>
  <c r="J144" i="1"/>
  <c r="F144" i="1"/>
  <c r="G144" i="1" s="1"/>
  <c r="M139" i="1"/>
  <c r="J139" i="1"/>
  <c r="F139" i="1"/>
  <c r="M138" i="1"/>
  <c r="J138" i="1"/>
  <c r="F138" i="1"/>
  <c r="M137" i="1"/>
  <c r="J137" i="1"/>
  <c r="F137" i="1"/>
  <c r="M136" i="1"/>
  <c r="J136" i="1"/>
  <c r="F136" i="1"/>
  <c r="G136" i="1" s="1"/>
  <c r="J135" i="1"/>
  <c r="F135" i="1"/>
  <c r="G135" i="1" s="1"/>
  <c r="H135" i="1" s="1"/>
  <c r="M134" i="1"/>
  <c r="J134" i="1"/>
  <c r="F134" i="1"/>
  <c r="M133" i="1"/>
  <c r="J133" i="1"/>
  <c r="F133" i="1"/>
  <c r="M132" i="1"/>
  <c r="J132" i="1"/>
  <c r="F132" i="1"/>
  <c r="G132" i="1" s="1"/>
  <c r="M131" i="1"/>
  <c r="J131" i="1"/>
  <c r="F131" i="1"/>
  <c r="M130" i="1"/>
  <c r="J130" i="1"/>
  <c r="F130" i="1"/>
  <c r="G4" i="1" l="1"/>
  <c r="H4" i="1" s="1"/>
  <c r="K4" i="1" s="1"/>
  <c r="K224" i="1"/>
  <c r="N224" i="1" s="1"/>
  <c r="G225" i="1"/>
  <c r="H225" i="1" s="1"/>
  <c r="K210" i="1"/>
  <c r="N210" i="1" s="1"/>
  <c r="G211" i="1"/>
  <c r="H211" i="1" s="1"/>
  <c r="K196" i="1"/>
  <c r="N196" i="1" s="1"/>
  <c r="H197" i="1"/>
  <c r="K182" i="1"/>
  <c r="N182" i="1" s="1"/>
  <c r="H183" i="1"/>
  <c r="K168" i="1"/>
  <c r="N168" i="1" s="1"/>
  <c r="H169" i="1"/>
  <c r="K154" i="1"/>
  <c r="H155" i="1"/>
  <c r="K140" i="1"/>
  <c r="N140" i="1" s="1"/>
  <c r="G141" i="1"/>
  <c r="H141" i="1" s="1"/>
  <c r="K126" i="1"/>
  <c r="N126" i="1" s="1"/>
  <c r="G127" i="1"/>
  <c r="H127" i="1" s="1"/>
  <c r="K219" i="1"/>
  <c r="N219" i="1" s="1"/>
  <c r="G221" i="1"/>
  <c r="H221" i="1" s="1"/>
  <c r="G223" i="1"/>
  <c r="H223" i="1" s="1"/>
  <c r="G218" i="1"/>
  <c r="H218" i="1" s="1"/>
  <c r="G215" i="1"/>
  <c r="H215" i="1" s="1"/>
  <c r="G217" i="1"/>
  <c r="H217" i="1" s="1"/>
  <c r="H222" i="1"/>
  <c r="G214" i="1"/>
  <c r="H214" i="1" s="1"/>
  <c r="G216" i="1"/>
  <c r="H216" i="1" s="1"/>
  <c r="G220" i="1"/>
  <c r="H220" i="1" s="1"/>
  <c r="K205" i="1"/>
  <c r="N205" i="1" s="1"/>
  <c r="G200" i="1"/>
  <c r="H200" i="1" s="1"/>
  <c r="G207" i="1"/>
  <c r="H207" i="1" s="1"/>
  <c r="H202" i="1"/>
  <c r="G204" i="1"/>
  <c r="H204" i="1" s="1"/>
  <c r="H209" i="1"/>
  <c r="H201" i="1"/>
  <c r="G208" i="1"/>
  <c r="H208" i="1" s="1"/>
  <c r="G203" i="1"/>
  <c r="H203" i="1" s="1"/>
  <c r="G206" i="1"/>
  <c r="H206" i="1" s="1"/>
  <c r="K189" i="1"/>
  <c r="N189" i="1" s="1"/>
  <c r="K190" i="1"/>
  <c r="N190" i="1" s="1"/>
  <c r="G191" i="1"/>
  <c r="H191" i="1" s="1"/>
  <c r="G193" i="1"/>
  <c r="H193" i="1" s="1"/>
  <c r="G188" i="1"/>
  <c r="H188" i="1" s="1"/>
  <c r="G195" i="1"/>
  <c r="H195" i="1" s="1"/>
  <c r="G187" i="1"/>
  <c r="H187" i="1" s="1"/>
  <c r="H192" i="1"/>
  <c r="G194" i="1"/>
  <c r="H194" i="1" s="1"/>
  <c r="G186" i="1"/>
  <c r="H186" i="1" s="1"/>
  <c r="K177" i="1"/>
  <c r="N177" i="1" s="1"/>
  <c r="G174" i="1"/>
  <c r="H174" i="1" s="1"/>
  <c r="H176" i="1"/>
  <c r="G180" i="1"/>
  <c r="H180" i="1" s="1"/>
  <c r="G172" i="1"/>
  <c r="H172" i="1" s="1"/>
  <c r="H179" i="1"/>
  <c r="G181" i="1"/>
  <c r="H181" i="1" s="1"/>
  <c r="G173" i="1"/>
  <c r="H173" i="1" s="1"/>
  <c r="H178" i="1"/>
  <c r="G175" i="1"/>
  <c r="H175" i="1" s="1"/>
  <c r="K163" i="1"/>
  <c r="N163" i="1" s="1"/>
  <c r="G158" i="1"/>
  <c r="H158" i="1" s="1"/>
  <c r="G165" i="1"/>
  <c r="H165" i="1" s="1"/>
  <c r="H160" i="1"/>
  <c r="G167" i="1"/>
  <c r="H167" i="1" s="1"/>
  <c r="H162" i="1"/>
  <c r="G164" i="1"/>
  <c r="H164" i="1" s="1"/>
  <c r="G159" i="1"/>
  <c r="H159" i="1" s="1"/>
  <c r="G161" i="1"/>
  <c r="H161" i="1" s="1"/>
  <c r="H166" i="1"/>
  <c r="K150" i="1"/>
  <c r="K145" i="1"/>
  <c r="N145" i="1" s="1"/>
  <c r="K149" i="1"/>
  <c r="H144" i="1"/>
  <c r="H146" i="1"/>
  <c r="H148" i="1"/>
  <c r="H151" i="1"/>
  <c r="H153" i="1"/>
  <c r="G152" i="1"/>
  <c r="H152" i="1" s="1"/>
  <c r="G147" i="1"/>
  <c r="H147" i="1" s="1"/>
  <c r="K135" i="1"/>
  <c r="H132" i="1"/>
  <c r="G139" i="1"/>
  <c r="H139" i="1" s="1"/>
  <c r="G131" i="1"/>
  <c r="H131" i="1" s="1"/>
  <c r="H136" i="1"/>
  <c r="G130" i="1"/>
  <c r="H130" i="1" s="1"/>
  <c r="G137" i="1"/>
  <c r="H137" i="1" s="1"/>
  <c r="G134" i="1"/>
  <c r="H134" i="1" s="1"/>
  <c r="G138" i="1"/>
  <c r="H138" i="1" s="1"/>
  <c r="G133" i="1"/>
  <c r="H133" i="1" s="1"/>
  <c r="M57" i="1"/>
  <c r="J57" i="1"/>
  <c r="F57" i="1"/>
  <c r="M56" i="1"/>
  <c r="J56" i="1"/>
  <c r="F56" i="1"/>
  <c r="M55" i="1"/>
  <c r="J55" i="1"/>
  <c r="F55" i="1"/>
  <c r="M54" i="1"/>
  <c r="J54" i="1"/>
  <c r="F54" i="1"/>
  <c r="M53" i="1"/>
  <c r="J53" i="1"/>
  <c r="F53" i="1"/>
  <c r="G53" i="1" s="1"/>
  <c r="H53" i="1" s="1"/>
  <c r="M52" i="1"/>
  <c r="J52" i="1"/>
  <c r="F52" i="1"/>
  <c r="M51" i="1"/>
  <c r="J51" i="1"/>
  <c r="F51" i="1"/>
  <c r="M50" i="1"/>
  <c r="J50" i="1"/>
  <c r="F50" i="1"/>
  <c r="M49" i="1"/>
  <c r="J49" i="1"/>
  <c r="F49" i="1"/>
  <c r="M48" i="1"/>
  <c r="J48" i="1"/>
  <c r="F48" i="1"/>
  <c r="M47" i="1"/>
  <c r="J47" i="1"/>
  <c r="F47" i="1"/>
  <c r="M46" i="1"/>
  <c r="J46" i="1"/>
  <c r="F46" i="1"/>
  <c r="G46" i="1" s="1"/>
  <c r="H46" i="1" s="1"/>
  <c r="M43" i="1"/>
  <c r="J43" i="1"/>
  <c r="F43" i="1"/>
  <c r="M42" i="1"/>
  <c r="J42" i="1"/>
  <c r="F42" i="1"/>
  <c r="G42" i="1" s="1"/>
  <c r="M41" i="1"/>
  <c r="J41" i="1"/>
  <c r="F41" i="1"/>
  <c r="G41" i="1" s="1"/>
  <c r="M40" i="1"/>
  <c r="J40" i="1"/>
  <c r="F40" i="1"/>
  <c r="M39" i="1"/>
  <c r="J39" i="1"/>
  <c r="F39" i="1"/>
  <c r="G39" i="1" s="1"/>
  <c r="H39" i="1" s="1"/>
  <c r="M38" i="1"/>
  <c r="J38" i="1"/>
  <c r="F38" i="1"/>
  <c r="M37" i="1"/>
  <c r="J37" i="1"/>
  <c r="F37" i="1"/>
  <c r="M36" i="1"/>
  <c r="J36" i="1"/>
  <c r="F36" i="1"/>
  <c r="M35" i="1"/>
  <c r="J35" i="1"/>
  <c r="F35" i="1"/>
  <c r="M34" i="1"/>
  <c r="J34" i="1"/>
  <c r="F34" i="1"/>
  <c r="M33" i="1"/>
  <c r="J33" i="1"/>
  <c r="F33" i="1"/>
  <c r="M32" i="1"/>
  <c r="J32" i="1"/>
  <c r="F32" i="1"/>
  <c r="G32" i="1" s="1"/>
  <c r="H32" i="1" s="1"/>
  <c r="M29" i="1"/>
  <c r="J29" i="1"/>
  <c r="F29" i="1"/>
  <c r="M28" i="1"/>
  <c r="J28" i="1"/>
  <c r="F28" i="1"/>
  <c r="M27" i="1"/>
  <c r="J27" i="1"/>
  <c r="F27" i="1"/>
  <c r="G27" i="1" s="1"/>
  <c r="M26" i="1"/>
  <c r="J26" i="1"/>
  <c r="F26" i="1"/>
  <c r="M25" i="1"/>
  <c r="J25" i="1"/>
  <c r="F25" i="1"/>
  <c r="G25" i="1" s="1"/>
  <c r="H25" i="1" s="1"/>
  <c r="M24" i="1"/>
  <c r="J24" i="1"/>
  <c r="F24" i="1"/>
  <c r="M23" i="1"/>
  <c r="J23" i="1"/>
  <c r="F23" i="1"/>
  <c r="M22" i="1"/>
  <c r="J22" i="1"/>
  <c r="F22" i="1"/>
  <c r="M21" i="1"/>
  <c r="J21" i="1"/>
  <c r="F21" i="1"/>
  <c r="M20" i="1"/>
  <c r="J20" i="1"/>
  <c r="F20" i="1"/>
  <c r="M19" i="1"/>
  <c r="J19" i="1"/>
  <c r="F19" i="1"/>
  <c r="M18" i="1"/>
  <c r="J18" i="1"/>
  <c r="F18" i="1"/>
  <c r="G18" i="1" s="1"/>
  <c r="H18" i="1" s="1"/>
  <c r="M15" i="1"/>
  <c r="J15" i="1"/>
  <c r="F15" i="1"/>
  <c r="M14" i="1"/>
  <c r="J14" i="1"/>
  <c r="F14" i="1"/>
  <c r="M13" i="1"/>
  <c r="J13" i="1"/>
  <c r="F13" i="1"/>
  <c r="M12" i="1"/>
  <c r="J12" i="1"/>
  <c r="F12" i="1"/>
  <c r="M11" i="1"/>
  <c r="J11" i="1"/>
  <c r="F11" i="1"/>
  <c r="G11" i="1" s="1"/>
  <c r="H11" i="1" s="1"/>
  <c r="J10" i="1"/>
  <c r="F10" i="1"/>
  <c r="M9" i="1"/>
  <c r="J9" i="1"/>
  <c r="F9" i="1"/>
  <c r="M8" i="1"/>
  <c r="J8" i="1"/>
  <c r="F8" i="1"/>
  <c r="J7" i="1"/>
  <c r="F7" i="1"/>
  <c r="G7" i="1" s="1"/>
  <c r="M6" i="1"/>
  <c r="J6" i="1"/>
  <c r="F6" i="1"/>
  <c r="M5" i="1"/>
  <c r="J5" i="1"/>
  <c r="F5" i="1"/>
  <c r="M60" i="1"/>
  <c r="J60" i="1"/>
  <c r="F60" i="1"/>
  <c r="M150" i="1" l="1"/>
  <c r="N150" i="1" s="1"/>
  <c r="M149" i="1"/>
  <c r="N149" i="1" s="1"/>
  <c r="M154" i="1"/>
  <c r="N154" i="1" s="1"/>
  <c r="M135" i="1"/>
  <c r="N135" i="1" s="1"/>
  <c r="K225" i="1"/>
  <c r="N225" i="1" s="1"/>
  <c r="K211" i="1"/>
  <c r="N211" i="1" s="1"/>
  <c r="K197" i="1"/>
  <c r="N197" i="1" s="1"/>
  <c r="K183" i="1"/>
  <c r="N183" i="1" s="1"/>
  <c r="K169" i="1"/>
  <c r="N169" i="1" s="1"/>
  <c r="K155" i="1"/>
  <c r="K141" i="1"/>
  <c r="N141" i="1" s="1"/>
  <c r="K127" i="1"/>
  <c r="N127" i="1" s="1"/>
  <c r="K223" i="1"/>
  <c r="N223" i="1" s="1"/>
  <c r="K220" i="1"/>
  <c r="N220" i="1" s="1"/>
  <c r="K217" i="1"/>
  <c r="N217" i="1" s="1"/>
  <c r="K221" i="1"/>
  <c r="N221" i="1" s="1"/>
  <c r="K216" i="1"/>
  <c r="N216" i="1" s="1"/>
  <c r="K215" i="1"/>
  <c r="N215" i="1" s="1"/>
  <c r="K222" i="1"/>
  <c r="N222" i="1" s="1"/>
  <c r="K218" i="1"/>
  <c r="N218" i="1" s="1"/>
  <c r="K214" i="1"/>
  <c r="N214" i="1" s="1"/>
  <c r="K206" i="1"/>
  <c r="N206" i="1" s="1"/>
  <c r="K207" i="1"/>
  <c r="N207" i="1" s="1"/>
  <c r="K203" i="1"/>
  <c r="N203" i="1" s="1"/>
  <c r="K204" i="1"/>
  <c r="N204" i="1" s="1"/>
  <c r="K200" i="1"/>
  <c r="N200" i="1" s="1"/>
  <c r="K208" i="1"/>
  <c r="N208" i="1" s="1"/>
  <c r="K201" i="1"/>
  <c r="N201" i="1" s="1"/>
  <c r="K202" i="1"/>
  <c r="N202" i="1" s="1"/>
  <c r="K209" i="1"/>
  <c r="N209" i="1" s="1"/>
  <c r="K193" i="1"/>
  <c r="N193" i="1" s="1"/>
  <c r="K187" i="1"/>
  <c r="N187" i="1" s="1"/>
  <c r="K191" i="1"/>
  <c r="N191" i="1" s="1"/>
  <c r="K194" i="1"/>
  <c r="N194" i="1" s="1"/>
  <c r="K195" i="1"/>
  <c r="N195" i="1" s="1"/>
  <c r="K188" i="1"/>
  <c r="N188" i="1" s="1"/>
  <c r="K186" i="1"/>
  <c r="N186" i="1" s="1"/>
  <c r="K192" i="1"/>
  <c r="N192" i="1" s="1"/>
  <c r="K172" i="1"/>
  <c r="N172" i="1" s="1"/>
  <c r="K174" i="1"/>
  <c r="N174" i="1" s="1"/>
  <c r="K180" i="1"/>
  <c r="N180" i="1" s="1"/>
  <c r="K175" i="1"/>
  <c r="N175" i="1" s="1"/>
  <c r="K176" i="1"/>
  <c r="N176" i="1" s="1"/>
  <c r="K181" i="1"/>
  <c r="N181" i="1" s="1"/>
  <c r="K178" i="1"/>
  <c r="N178" i="1" s="1"/>
  <c r="K173" i="1"/>
  <c r="N173" i="1" s="1"/>
  <c r="K179" i="1"/>
  <c r="N179" i="1" s="1"/>
  <c r="K164" i="1"/>
  <c r="N164" i="1" s="1"/>
  <c r="K165" i="1"/>
  <c r="N165" i="1" s="1"/>
  <c r="K161" i="1"/>
  <c r="N161" i="1" s="1"/>
  <c r="K167" i="1"/>
  <c r="N167" i="1" s="1"/>
  <c r="K158" i="1"/>
  <c r="K160" i="1"/>
  <c r="N160" i="1" s="1"/>
  <c r="K159" i="1"/>
  <c r="N159" i="1" s="1"/>
  <c r="K166" i="1"/>
  <c r="N166" i="1" s="1"/>
  <c r="K162" i="1"/>
  <c r="N162" i="1" s="1"/>
  <c r="K152" i="1"/>
  <c r="K151" i="1"/>
  <c r="K147" i="1"/>
  <c r="K146" i="1"/>
  <c r="K148" i="1"/>
  <c r="K144" i="1"/>
  <c r="N144" i="1" s="1"/>
  <c r="K153" i="1"/>
  <c r="K133" i="1"/>
  <c r="N133" i="1" s="1"/>
  <c r="K138" i="1"/>
  <c r="N138" i="1" s="1"/>
  <c r="K134" i="1"/>
  <c r="N134" i="1" s="1"/>
  <c r="K137" i="1"/>
  <c r="N137" i="1" s="1"/>
  <c r="K131" i="1"/>
  <c r="N131" i="1" s="1"/>
  <c r="K139" i="1"/>
  <c r="N139" i="1" s="1"/>
  <c r="K132" i="1"/>
  <c r="N132" i="1" s="1"/>
  <c r="K130" i="1"/>
  <c r="N130" i="1" s="1"/>
  <c r="K136" i="1"/>
  <c r="N136" i="1" s="1"/>
  <c r="K53" i="1"/>
  <c r="N53" i="1" s="1"/>
  <c r="K46" i="1"/>
  <c r="N46" i="1" s="1"/>
  <c r="G48" i="1"/>
  <c r="H48" i="1" s="1"/>
  <c r="G55" i="1"/>
  <c r="H55" i="1" s="1"/>
  <c r="G50" i="1"/>
  <c r="H50" i="1" s="1"/>
  <c r="G57" i="1"/>
  <c r="H57" i="1" s="1"/>
  <c r="G52" i="1"/>
  <c r="H52" i="1" s="1"/>
  <c r="G47" i="1"/>
  <c r="H47" i="1" s="1"/>
  <c r="G54" i="1"/>
  <c r="H54" i="1" s="1"/>
  <c r="G49" i="1"/>
  <c r="H49" i="1" s="1"/>
  <c r="G56" i="1"/>
  <c r="H56" i="1" s="1"/>
  <c r="G51" i="1"/>
  <c r="H51" i="1" s="1"/>
  <c r="K39" i="1"/>
  <c r="N39" i="1" s="1"/>
  <c r="K32" i="1"/>
  <c r="N32" i="1" s="1"/>
  <c r="G34" i="1"/>
  <c r="H34" i="1" s="1"/>
  <c r="G36" i="1"/>
  <c r="H36" i="1" s="1"/>
  <c r="H41" i="1"/>
  <c r="G38" i="1"/>
  <c r="H38" i="1" s="1"/>
  <c r="G33" i="1"/>
  <c r="H33" i="1" s="1"/>
  <c r="G40" i="1"/>
  <c r="H40" i="1" s="1"/>
  <c r="G37" i="1"/>
  <c r="H37" i="1" s="1"/>
  <c r="H42" i="1"/>
  <c r="G43" i="1"/>
  <c r="H43" i="1" s="1"/>
  <c r="G35" i="1"/>
  <c r="H35" i="1" s="1"/>
  <c r="K25" i="1"/>
  <c r="N25" i="1" s="1"/>
  <c r="K18" i="1"/>
  <c r="N18" i="1" s="1"/>
  <c r="H27" i="1"/>
  <c r="G20" i="1"/>
  <c r="H20" i="1" s="1"/>
  <c r="G22" i="1"/>
  <c r="H22" i="1" s="1"/>
  <c r="G29" i="1"/>
  <c r="H29" i="1" s="1"/>
  <c r="G24" i="1"/>
  <c r="H24" i="1" s="1"/>
  <c r="G19" i="1"/>
  <c r="H19" i="1" s="1"/>
  <c r="G26" i="1"/>
  <c r="H26" i="1" s="1"/>
  <c r="G21" i="1"/>
  <c r="H21" i="1" s="1"/>
  <c r="G28" i="1"/>
  <c r="H28" i="1" s="1"/>
  <c r="G23" i="1"/>
  <c r="H23" i="1" s="1"/>
  <c r="K11" i="1"/>
  <c r="N11" i="1" s="1"/>
  <c r="G13" i="1"/>
  <c r="H13" i="1" s="1"/>
  <c r="G8" i="1"/>
  <c r="H8" i="1" s="1"/>
  <c r="G15" i="1"/>
  <c r="H15" i="1" s="1"/>
  <c r="G12" i="1"/>
  <c r="H12" i="1" s="1"/>
  <c r="H7" i="1"/>
  <c r="G14" i="1"/>
  <c r="H14" i="1" s="1"/>
  <c r="G6" i="1"/>
  <c r="H6" i="1" s="1"/>
  <c r="G5" i="1"/>
  <c r="H5" i="1" s="1"/>
  <c r="G9" i="1"/>
  <c r="H9" i="1" s="1"/>
  <c r="G10" i="1"/>
  <c r="H10" i="1" s="1"/>
  <c r="G60" i="1"/>
  <c r="H60" i="1" s="1"/>
  <c r="M125" i="1"/>
  <c r="J125" i="1"/>
  <c r="F125" i="1"/>
  <c r="M124" i="1"/>
  <c r="J124" i="1"/>
  <c r="F124" i="1"/>
  <c r="M123" i="1"/>
  <c r="J123" i="1"/>
  <c r="F123" i="1"/>
  <c r="M122" i="1"/>
  <c r="J122" i="1"/>
  <c r="F122" i="1"/>
  <c r="M121" i="1"/>
  <c r="J121" i="1"/>
  <c r="F121" i="1"/>
  <c r="M120" i="1"/>
  <c r="J120" i="1"/>
  <c r="F120" i="1"/>
  <c r="M119" i="1"/>
  <c r="J119" i="1"/>
  <c r="F119" i="1"/>
  <c r="G119" i="1" s="1"/>
  <c r="M118" i="1"/>
  <c r="J118" i="1"/>
  <c r="F118" i="1"/>
  <c r="M117" i="1"/>
  <c r="J117" i="1"/>
  <c r="F117" i="1"/>
  <c r="G117" i="1" s="1"/>
  <c r="M116" i="1"/>
  <c r="J116" i="1"/>
  <c r="F116" i="1"/>
  <c r="M113" i="1"/>
  <c r="J113" i="1"/>
  <c r="F113" i="1"/>
  <c r="G113" i="1" s="1"/>
  <c r="M112" i="1"/>
  <c r="J112" i="1"/>
  <c r="F112" i="1"/>
  <c r="M111" i="1"/>
  <c r="J111" i="1"/>
  <c r="F111" i="1"/>
  <c r="M110" i="1"/>
  <c r="J110" i="1"/>
  <c r="F110" i="1"/>
  <c r="G110" i="1" s="1"/>
  <c r="M109" i="1"/>
  <c r="J109" i="1"/>
  <c r="F109" i="1"/>
  <c r="G109" i="1" s="1"/>
  <c r="H109" i="1" s="1"/>
  <c r="M108" i="1"/>
  <c r="J108" i="1"/>
  <c r="F108" i="1"/>
  <c r="M107" i="1"/>
  <c r="J107" i="1"/>
  <c r="F107" i="1"/>
  <c r="M106" i="1"/>
  <c r="J106" i="1"/>
  <c r="F106" i="1"/>
  <c r="G106" i="1" s="1"/>
  <c r="M105" i="1"/>
  <c r="J105" i="1"/>
  <c r="F105" i="1"/>
  <c r="G105" i="1" s="1"/>
  <c r="M104" i="1"/>
  <c r="J104" i="1"/>
  <c r="F104" i="1"/>
  <c r="G104" i="1" s="1"/>
  <c r="M103" i="1"/>
  <c r="J103" i="1"/>
  <c r="F103" i="1"/>
  <c r="M102" i="1"/>
  <c r="J102" i="1"/>
  <c r="F102" i="1"/>
  <c r="M99" i="1"/>
  <c r="J99" i="1"/>
  <c r="F99" i="1"/>
  <c r="M98" i="1"/>
  <c r="J98" i="1"/>
  <c r="F98" i="1"/>
  <c r="M97" i="1"/>
  <c r="J97" i="1"/>
  <c r="F97" i="1"/>
  <c r="M96" i="1"/>
  <c r="J96" i="1"/>
  <c r="F96" i="1"/>
  <c r="M95" i="1"/>
  <c r="J95" i="1"/>
  <c r="F95" i="1"/>
  <c r="G95" i="1" s="1"/>
  <c r="H95" i="1" s="1"/>
  <c r="M94" i="1"/>
  <c r="J94" i="1"/>
  <c r="F94" i="1"/>
  <c r="M93" i="1"/>
  <c r="J93" i="1"/>
  <c r="F93" i="1"/>
  <c r="M92" i="1"/>
  <c r="J92" i="1"/>
  <c r="F92" i="1"/>
  <c r="M91" i="1"/>
  <c r="J91" i="1"/>
  <c r="F91" i="1"/>
  <c r="M90" i="1"/>
  <c r="J90" i="1"/>
  <c r="F90" i="1"/>
  <c r="M89" i="1"/>
  <c r="J89" i="1"/>
  <c r="F89" i="1"/>
  <c r="M88" i="1"/>
  <c r="J88" i="1"/>
  <c r="F88" i="1"/>
  <c r="M85" i="1"/>
  <c r="J85" i="1"/>
  <c r="F85" i="1"/>
  <c r="M84" i="1"/>
  <c r="J84" i="1"/>
  <c r="F84" i="1"/>
  <c r="G84" i="1" s="1"/>
  <c r="M83" i="1"/>
  <c r="J83" i="1"/>
  <c r="F83" i="1"/>
  <c r="M82" i="1"/>
  <c r="J82" i="1"/>
  <c r="F82" i="1"/>
  <c r="G82" i="1" s="1"/>
  <c r="M81" i="1"/>
  <c r="J81" i="1"/>
  <c r="F81" i="1"/>
  <c r="G81" i="1" s="1"/>
  <c r="H81" i="1" s="1"/>
  <c r="M80" i="1"/>
  <c r="J80" i="1"/>
  <c r="F80" i="1"/>
  <c r="M79" i="1"/>
  <c r="J79" i="1"/>
  <c r="F79" i="1"/>
  <c r="M78" i="1"/>
  <c r="J78" i="1"/>
  <c r="F78" i="1"/>
  <c r="M77" i="1"/>
  <c r="J77" i="1"/>
  <c r="F77" i="1"/>
  <c r="M76" i="1"/>
  <c r="J76" i="1"/>
  <c r="F76" i="1"/>
  <c r="M75" i="1"/>
  <c r="J75" i="1"/>
  <c r="F75" i="1"/>
  <c r="M74" i="1"/>
  <c r="J74" i="1"/>
  <c r="F74" i="1"/>
  <c r="M71" i="1"/>
  <c r="J71" i="1"/>
  <c r="F71" i="1"/>
  <c r="M70" i="1"/>
  <c r="J70" i="1"/>
  <c r="F70" i="1"/>
  <c r="G70" i="1" s="1"/>
  <c r="M69" i="1"/>
  <c r="J69" i="1"/>
  <c r="F69" i="1"/>
  <c r="G69" i="1" s="1"/>
  <c r="H69" i="1" s="1"/>
  <c r="M68" i="1"/>
  <c r="J68" i="1"/>
  <c r="F68" i="1"/>
  <c r="G68" i="1" s="1"/>
  <c r="M67" i="1"/>
  <c r="J67" i="1"/>
  <c r="F67" i="1"/>
  <c r="G67" i="1" s="1"/>
  <c r="H67" i="1" s="1"/>
  <c r="M66" i="1"/>
  <c r="J66" i="1"/>
  <c r="F66" i="1"/>
  <c r="M65" i="1"/>
  <c r="J65" i="1"/>
  <c r="F65" i="1"/>
  <c r="G65" i="1" s="1"/>
  <c r="M64" i="1"/>
  <c r="J64" i="1"/>
  <c r="F64" i="1"/>
  <c r="G64" i="1" s="1"/>
  <c r="H64" i="1" s="1"/>
  <c r="M63" i="1"/>
  <c r="J63" i="1"/>
  <c r="F63" i="1"/>
  <c r="M62" i="1"/>
  <c r="J62" i="1"/>
  <c r="F62" i="1"/>
  <c r="G62" i="1" s="1"/>
  <c r="H62" i="1" s="1"/>
  <c r="M61" i="1"/>
  <c r="J61" i="1"/>
  <c r="F61" i="1"/>
  <c r="M146" i="1" l="1"/>
  <c r="N146" i="1" s="1"/>
  <c r="M151" i="1"/>
  <c r="N151" i="1" s="1"/>
  <c r="M148" i="1"/>
  <c r="N148" i="1" s="1"/>
  <c r="M158" i="1"/>
  <c r="N158" i="1" s="1"/>
  <c r="N170" i="1" s="1"/>
  <c r="N171" i="1" s="1"/>
  <c r="M155" i="1"/>
  <c r="N155" i="1" s="1"/>
  <c r="M153" i="1"/>
  <c r="N153" i="1" s="1"/>
  <c r="M152" i="1"/>
  <c r="N152" i="1" s="1"/>
  <c r="N184" i="1"/>
  <c r="N185" i="1" s="1"/>
  <c r="N212" i="1"/>
  <c r="N213" i="1" s="1"/>
  <c r="N198" i="1"/>
  <c r="N226" i="1"/>
  <c r="N227" i="1" s="1"/>
  <c r="N44" i="1"/>
  <c r="N142" i="1"/>
  <c r="N143" i="1" s="1"/>
  <c r="M147" i="1"/>
  <c r="N147" i="1" s="1"/>
  <c r="M4" i="1"/>
  <c r="N4" i="1" s="1"/>
  <c r="N199" i="1"/>
  <c r="K47" i="1"/>
  <c r="N47" i="1" s="1"/>
  <c r="K57" i="1"/>
  <c r="N57" i="1" s="1"/>
  <c r="K55" i="1"/>
  <c r="N55" i="1" s="1"/>
  <c r="K51" i="1"/>
  <c r="N51" i="1" s="1"/>
  <c r="K54" i="1"/>
  <c r="N54" i="1" s="1"/>
  <c r="K48" i="1"/>
  <c r="N48" i="1" s="1"/>
  <c r="N58" i="1" s="1"/>
  <c r="K56" i="1"/>
  <c r="N56" i="1" s="1"/>
  <c r="K49" i="1"/>
  <c r="N49" i="1" s="1"/>
  <c r="K50" i="1"/>
  <c r="N50" i="1" s="1"/>
  <c r="K52" i="1"/>
  <c r="N52" i="1" s="1"/>
  <c r="K38" i="1"/>
  <c r="N38" i="1" s="1"/>
  <c r="K33" i="1"/>
  <c r="N33" i="1" s="1"/>
  <c r="K35" i="1"/>
  <c r="N35" i="1" s="1"/>
  <c r="K43" i="1"/>
  <c r="N43" i="1" s="1"/>
  <c r="K37" i="1"/>
  <c r="N37" i="1" s="1"/>
  <c r="K40" i="1"/>
  <c r="N40" i="1" s="1"/>
  <c r="K36" i="1"/>
  <c r="N36" i="1" s="1"/>
  <c r="K42" i="1"/>
  <c r="N42" i="1" s="1"/>
  <c r="K41" i="1"/>
  <c r="N41" i="1" s="1"/>
  <c r="K34" i="1"/>
  <c r="N34" i="1" s="1"/>
  <c r="K21" i="1"/>
  <c r="N21" i="1" s="1"/>
  <c r="K19" i="1"/>
  <c r="N19" i="1" s="1"/>
  <c r="N30" i="1" s="1"/>
  <c r="K29" i="1"/>
  <c r="N29" i="1" s="1"/>
  <c r="K24" i="1"/>
  <c r="N24" i="1" s="1"/>
  <c r="K26" i="1"/>
  <c r="N26" i="1" s="1"/>
  <c r="K23" i="1"/>
  <c r="N23" i="1" s="1"/>
  <c r="K28" i="1"/>
  <c r="N28" i="1" s="1"/>
  <c r="K20" i="1"/>
  <c r="N20" i="1" s="1"/>
  <c r="K27" i="1"/>
  <c r="N27" i="1" s="1"/>
  <c r="K22" i="1"/>
  <c r="N22" i="1" s="1"/>
  <c r="K12" i="1"/>
  <c r="N12" i="1" s="1"/>
  <c r="K14" i="1"/>
  <c r="N14" i="1" s="1"/>
  <c r="K10" i="1"/>
  <c r="K9" i="1"/>
  <c r="N9" i="1" s="1"/>
  <c r="K6" i="1"/>
  <c r="N6" i="1" s="1"/>
  <c r="K13" i="1"/>
  <c r="N13" i="1" s="1"/>
  <c r="K5" i="1"/>
  <c r="N5" i="1" s="1"/>
  <c r="K8" i="1"/>
  <c r="N8" i="1" s="1"/>
  <c r="K15" i="1"/>
  <c r="N15" i="1" s="1"/>
  <c r="K7" i="1"/>
  <c r="K60" i="1"/>
  <c r="N60" i="1" s="1"/>
  <c r="G74" i="1"/>
  <c r="H74" i="1" s="1"/>
  <c r="G102" i="1"/>
  <c r="H102" i="1" s="1"/>
  <c r="H117" i="1"/>
  <c r="K117" i="1" s="1"/>
  <c r="N117" i="1" s="1"/>
  <c r="G88" i="1"/>
  <c r="H88" i="1" s="1"/>
  <c r="H119" i="1"/>
  <c r="K119" i="1" s="1"/>
  <c r="N119" i="1" s="1"/>
  <c r="G125" i="1"/>
  <c r="H125" i="1" s="1"/>
  <c r="G124" i="1"/>
  <c r="H124" i="1" s="1"/>
  <c r="G123" i="1"/>
  <c r="H123" i="1" s="1"/>
  <c r="G122" i="1"/>
  <c r="H122" i="1" s="1"/>
  <c r="G121" i="1"/>
  <c r="H121" i="1" s="1"/>
  <c r="G120" i="1"/>
  <c r="H120" i="1" s="1"/>
  <c r="G118" i="1"/>
  <c r="H118" i="1" s="1"/>
  <c r="G116" i="1"/>
  <c r="H116" i="1" s="1"/>
  <c r="K109" i="1"/>
  <c r="N109" i="1" s="1"/>
  <c r="H105" i="1"/>
  <c r="G112" i="1"/>
  <c r="H112" i="1" s="1"/>
  <c r="H104" i="1"/>
  <c r="G111" i="1"/>
  <c r="H111" i="1" s="1"/>
  <c r="H106" i="1"/>
  <c r="H113" i="1"/>
  <c r="G103" i="1"/>
  <c r="H103" i="1" s="1"/>
  <c r="H110" i="1"/>
  <c r="G107" i="1"/>
  <c r="H107" i="1" s="1"/>
  <c r="G108" i="1"/>
  <c r="H108" i="1" s="1"/>
  <c r="K95" i="1"/>
  <c r="N95" i="1" s="1"/>
  <c r="G97" i="1"/>
  <c r="H97" i="1" s="1"/>
  <c r="G92" i="1"/>
  <c r="H92" i="1" s="1"/>
  <c r="G99" i="1"/>
  <c r="H99" i="1" s="1"/>
  <c r="G89" i="1"/>
  <c r="H89" i="1" s="1"/>
  <c r="G91" i="1"/>
  <c r="H91" i="1" s="1"/>
  <c r="G98" i="1"/>
  <c r="H98" i="1" s="1"/>
  <c r="G90" i="1"/>
  <c r="H90" i="1" s="1"/>
  <c r="G94" i="1"/>
  <c r="H94" i="1" s="1"/>
  <c r="G93" i="1"/>
  <c r="H93" i="1" s="1"/>
  <c r="G96" i="1"/>
  <c r="H96" i="1" s="1"/>
  <c r="K81" i="1"/>
  <c r="N81" i="1" s="1"/>
  <c r="G76" i="1"/>
  <c r="H76" i="1" s="1"/>
  <c r="G83" i="1"/>
  <c r="H83" i="1" s="1"/>
  <c r="G80" i="1"/>
  <c r="H80" i="1" s="1"/>
  <c r="H82" i="1"/>
  <c r="G79" i="1"/>
  <c r="H79" i="1" s="1"/>
  <c r="H84" i="1"/>
  <c r="G78" i="1"/>
  <c r="H78" i="1" s="1"/>
  <c r="G85" i="1"/>
  <c r="H85" i="1" s="1"/>
  <c r="G75" i="1"/>
  <c r="H75" i="1" s="1"/>
  <c r="G77" i="1"/>
  <c r="H77" i="1" s="1"/>
  <c r="G71" i="1"/>
  <c r="H71" i="1" s="1"/>
  <c r="H70" i="1"/>
  <c r="K69" i="1"/>
  <c r="N69" i="1" s="1"/>
  <c r="H68" i="1"/>
  <c r="K67" i="1"/>
  <c r="N67" i="1" s="1"/>
  <c r="G66" i="1"/>
  <c r="H66" i="1" s="1"/>
  <c r="H65" i="1"/>
  <c r="K64" i="1"/>
  <c r="N64" i="1" s="1"/>
  <c r="G63" i="1"/>
  <c r="H63" i="1" s="1"/>
  <c r="K62" i="1"/>
  <c r="N62" i="1" s="1"/>
  <c r="G61" i="1"/>
  <c r="H61" i="1" s="1"/>
  <c r="N156" i="1" l="1"/>
  <c r="N157" i="1" s="1"/>
  <c r="M10" i="1"/>
  <c r="N10" i="1" s="1"/>
  <c r="M7" i="1"/>
  <c r="N7" i="1" s="1"/>
  <c r="N16" i="1" s="1"/>
  <c r="N45" i="1"/>
  <c r="N31" i="1"/>
  <c r="N59" i="1"/>
  <c r="K88" i="1"/>
  <c r="N88" i="1" s="1"/>
  <c r="K102" i="1"/>
  <c r="N102" i="1" s="1"/>
  <c r="K74" i="1"/>
  <c r="N74" i="1" s="1"/>
  <c r="K125" i="1"/>
  <c r="N125" i="1" s="1"/>
  <c r="K124" i="1"/>
  <c r="N124" i="1" s="1"/>
  <c r="K123" i="1"/>
  <c r="N123" i="1" s="1"/>
  <c r="K122" i="1"/>
  <c r="N122" i="1" s="1"/>
  <c r="K121" i="1"/>
  <c r="N121" i="1" s="1"/>
  <c r="K120" i="1"/>
  <c r="N120" i="1" s="1"/>
  <c r="K118" i="1"/>
  <c r="N118" i="1" s="1"/>
  <c r="K116" i="1"/>
  <c r="N116" i="1" s="1"/>
  <c r="K107" i="1"/>
  <c r="N107" i="1" s="1"/>
  <c r="K103" i="1"/>
  <c r="N103" i="1" s="1"/>
  <c r="K111" i="1"/>
  <c r="N111" i="1" s="1"/>
  <c r="K112" i="1"/>
  <c r="N112" i="1" s="1"/>
  <c r="K108" i="1"/>
  <c r="N108" i="1" s="1"/>
  <c r="K104" i="1"/>
  <c r="N104" i="1" s="1"/>
  <c r="K105" i="1"/>
  <c r="N105" i="1" s="1"/>
  <c r="K110" i="1"/>
  <c r="N110" i="1" s="1"/>
  <c r="K113" i="1"/>
  <c r="N113" i="1" s="1"/>
  <c r="K106" i="1"/>
  <c r="N106" i="1" s="1"/>
  <c r="K97" i="1"/>
  <c r="N97" i="1" s="1"/>
  <c r="K98" i="1"/>
  <c r="N98" i="1" s="1"/>
  <c r="K92" i="1"/>
  <c r="N92" i="1" s="1"/>
  <c r="K96" i="1"/>
  <c r="N96" i="1" s="1"/>
  <c r="K93" i="1"/>
  <c r="N93" i="1" s="1"/>
  <c r="K90" i="1"/>
  <c r="N90" i="1" s="1"/>
  <c r="K94" i="1"/>
  <c r="N94" i="1" s="1"/>
  <c r="K89" i="1"/>
  <c r="N89" i="1" s="1"/>
  <c r="K91" i="1"/>
  <c r="N91" i="1" s="1"/>
  <c r="K99" i="1"/>
  <c r="N99" i="1" s="1"/>
  <c r="K76" i="1"/>
  <c r="N76" i="1" s="1"/>
  <c r="K85" i="1"/>
  <c r="N85" i="1" s="1"/>
  <c r="K77" i="1"/>
  <c r="N77" i="1" s="1"/>
  <c r="K75" i="1"/>
  <c r="N75" i="1" s="1"/>
  <c r="K82" i="1"/>
  <c r="N82" i="1" s="1"/>
  <c r="K80" i="1"/>
  <c r="N80" i="1" s="1"/>
  <c r="K79" i="1"/>
  <c r="N79" i="1" s="1"/>
  <c r="K83" i="1"/>
  <c r="N83" i="1" s="1"/>
  <c r="K78" i="1"/>
  <c r="N78" i="1" s="1"/>
  <c r="K84" i="1"/>
  <c r="N84" i="1" s="1"/>
  <c r="K71" i="1"/>
  <c r="N71" i="1" s="1"/>
  <c r="K70" i="1"/>
  <c r="N70" i="1" s="1"/>
  <c r="K68" i="1"/>
  <c r="N68" i="1" s="1"/>
  <c r="K66" i="1"/>
  <c r="N66" i="1" s="1"/>
  <c r="K65" i="1"/>
  <c r="N65" i="1" s="1"/>
  <c r="K63" i="1"/>
  <c r="N63" i="1" s="1"/>
  <c r="K61" i="1"/>
  <c r="N61" i="1" s="1"/>
  <c r="N72" i="1" s="1"/>
  <c r="N73" i="1" s="1"/>
  <c r="N86" i="1" l="1"/>
  <c r="N100" i="1"/>
  <c r="N114" i="1"/>
  <c r="N128" i="1"/>
  <c r="N17" i="1"/>
  <c r="N101" i="1"/>
  <c r="N115" i="1"/>
  <c r="N87" i="1"/>
  <c r="N228" i="1" l="1"/>
  <c r="N12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<sst xmlns="http://schemas.openxmlformats.org/spreadsheetml/2006/main" count="83" uniqueCount="22">
  <si>
    <t>DIFERENÇA CLASSE POLICIAL CIVIL E UNIDADE POLICIAL</t>
  </si>
  <si>
    <t>MÊS</t>
  </si>
  <si>
    <t>CLASSE DELEGACIA</t>
  </si>
  <si>
    <t>CLASSE CARGO</t>
  </si>
  <si>
    <t>SALARIO BASE DELEGACIA</t>
  </si>
  <si>
    <t>SALARIO BASE REQUERENTE</t>
  </si>
  <si>
    <t>DIFERENÇA SALÁRIO BASE</t>
  </si>
  <si>
    <t>DIFERENÇA RETP</t>
  </si>
  <si>
    <t>DIFERENÇA SALÁRIO + RETP</t>
  </si>
  <si>
    <t>QTDE. QUINQUÊNIOS</t>
  </si>
  <si>
    <t>PORCENTAGEM</t>
  </si>
  <si>
    <t>DIFERENÇA QUINQUÊNIOS</t>
  </si>
  <si>
    <t>TEM 6ª PARTE?</t>
  </si>
  <si>
    <t>DIFERENÇA 6ª PARTE</t>
  </si>
  <si>
    <t>TOTAL DEVIDO</t>
  </si>
  <si>
    <t>13º prop.</t>
  </si>
  <si>
    <t>1/3 férias</t>
  </si>
  <si>
    <t>TOTAL DEVIDO:</t>
  </si>
  <si>
    <t>Não</t>
  </si>
  <si>
    <t>Classe Especial</t>
  </si>
  <si>
    <t>2ª Classe</t>
  </si>
  <si>
    <t>REQUERENTE: MAIRA CRISTINA FARIAS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</si>
</sst>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Lato"/>
      <family val="2"/>
    </font>
    <font>
      <b/>
      <sz val="9"/>
      <color theme="0"/>
      <name val="Lato"/>
      <family val="2"/>
    </font>
    <font>
      <b/>
      <sz val="10"/>
      <color theme="0"/>
      <name val="Lato"/>
      <family val="2"/>
    </font>
    <font>
      <b/>
      <sz val="10"/>
      <name val="Lato"/>
      <family val="2"/>
    </font>
    <font>
      <b/>
      <sz val="14"/>
      <color theme="0"/>
      <name val="Lato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38642"/>
        <bgColor indexed="64"/>
      </patternFill>
    </fill>
    <fill>
      <patternFill patternType="solid">
        <fgColor rgb="FF0D152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medium">
        <color rgb="FFFFFFFF"/>
      </left>
      <right style="thin">
        <color indexed="64"/>
      </right>
      <top style="medium">
        <color rgb="FFFFFF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FFFF"/>
      </top>
      <bottom style="thin">
        <color indexed="64"/>
      </bottom>
      <diagonal/>
    </border>
    <border>
      <left style="medium">
        <color rgb="FFFFFFFF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FFFFF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FFFF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rgb="FFFFFFFF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9" fillId="3" borderId="5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1" fontId="9" fillId="3" borderId="6" xfId="0" applyNumberFormat="1" applyFont="1" applyFill="1" applyBorder="1" applyAlignment="1">
      <alignment horizontal="center"/>
    </xf>
    <xf numFmtId="44" fontId="3" fillId="4" borderId="2" xfId="0" applyNumberFormat="1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8" fontId="2" fillId="5" borderId="1" xfId="0" applyNumberFormat="1" applyFont="1" applyFill="1" applyBorder="1" applyAlignment="1">
      <alignment horizontal="center" vertical="center" wrapText="1"/>
    </xf>
    <xf numFmtId="44" fontId="2" fillId="5" borderId="1" xfId="0" applyNumberFormat="1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44" fontId="2" fillId="5" borderId="6" xfId="0" applyNumberFormat="1" applyFont="1" applyFill="1" applyBorder="1" applyAlignment="1">
      <alignment horizontal="center" vertical="center" wrapText="1"/>
    </xf>
    <xf numFmtId="1" fontId="2" fillId="5" borderId="6" xfId="0" applyNumberFormat="1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44" fontId="2" fillId="5" borderId="9" xfId="0" applyNumberFormat="1" applyFont="1" applyFill="1" applyBorder="1" applyAlignment="1">
      <alignment horizontal="center" vertical="center" wrapText="1"/>
    </xf>
    <xf numFmtId="1" fontId="2" fillId="5" borderId="9" xfId="0" applyNumberFormat="1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1" fontId="6" fillId="3" borderId="12" xfId="0" applyNumberFormat="1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17" fontId="1" fillId="5" borderId="13" xfId="0" applyNumberFormat="1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 wrapText="1"/>
    </xf>
    <xf numFmtId="8" fontId="2" fillId="5" borderId="14" xfId="0" applyNumberFormat="1" applyFont="1" applyFill="1" applyBorder="1" applyAlignment="1">
      <alignment horizontal="center" vertical="center" wrapText="1"/>
    </xf>
    <xf numFmtId="1" fontId="2" fillId="5" borderId="14" xfId="0" applyNumberFormat="1" applyFont="1" applyFill="1" applyBorder="1" applyAlignment="1">
      <alignment horizontal="center" vertical="center" wrapText="1"/>
    </xf>
    <xf numFmtId="44" fontId="2" fillId="5" borderId="14" xfId="0" applyNumberFormat="1" applyFont="1" applyFill="1" applyBorder="1" applyAlignment="1">
      <alignment horizontal="center" vertical="center" wrapText="1"/>
    </xf>
    <xf numFmtId="17" fontId="1" fillId="5" borderId="15" xfId="0" applyNumberFormat="1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17" fontId="1" fillId="5" borderId="16" xfId="0" applyNumberFormat="1" applyFont="1" applyFill="1" applyBorder="1" applyAlignment="1">
      <alignment horizontal="center" vertical="center"/>
    </xf>
    <xf numFmtId="17" fontId="1" fillId="5" borderId="18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 applyProtection="1">
      <alignment horizontal="left"/>
      <protection hidden="1"/>
    </xf>
    <xf numFmtId="0" fontId="8" fillId="2" borderId="0" xfId="0" applyFont="1" applyFill="1" applyAlignment="1" applyProtection="1">
      <alignment horizontal="center" vertical="center"/>
      <protection hidden="1"/>
    </xf>
    <xf numFmtId="164" fontId="6" fillId="3" borderId="12" xfId="0" applyNumberFormat="1" applyFont="1" applyFill="1" applyBorder="1" applyAlignment="1" applyProtection="1">
      <alignment horizontal="center" vertical="center" wrapText="1"/>
      <protection hidden="1"/>
    </xf>
    <xf numFmtId="44" fontId="2" fillId="6" borderId="14" xfId="0" applyNumberFormat="1" applyFont="1" applyFill="1" applyBorder="1" applyAlignment="1" applyProtection="1">
      <alignment horizontal="center" vertical="center" wrapText="1"/>
      <protection hidden="1"/>
    </xf>
    <xf numFmtId="44" fontId="2" fillId="6" borderId="1" xfId="0" applyNumberFormat="1" applyFont="1" applyFill="1" applyBorder="1" applyAlignment="1" applyProtection="1">
      <alignment horizontal="center" vertical="center" wrapText="1"/>
      <protection hidden="1"/>
    </xf>
    <xf numFmtId="44" fontId="2" fillId="5" borderId="6" xfId="0" applyNumberFormat="1" applyFont="1" applyFill="1" applyBorder="1" applyAlignment="1" applyProtection="1">
      <alignment horizontal="center" vertical="center" wrapText="1"/>
      <protection hidden="1"/>
    </xf>
    <xf numFmtId="44" fontId="2" fillId="5" borderId="9" xfId="0" applyNumberFormat="1" applyFont="1" applyFill="1" applyBorder="1" applyAlignment="1" applyProtection="1">
      <alignment horizontal="center" vertical="center" wrapText="1"/>
      <protection hidden="1"/>
    </xf>
    <xf numFmtId="44" fontId="2" fillId="0" borderId="0" xfId="0" applyNumberFormat="1" applyFont="1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9" fillId="3" borderId="6" xfId="0" applyFont="1" applyFill="1" applyBorder="1" applyAlignment="1" applyProtection="1">
      <alignment horizontal="center"/>
      <protection hidden="1"/>
    </xf>
    <xf numFmtId="0" fontId="6" fillId="3" borderId="12" xfId="0" applyFont="1" applyFill="1" applyBorder="1" applyAlignment="1" applyProtection="1">
      <alignment horizontal="center" vertical="center" wrapText="1"/>
      <protection hidden="1"/>
    </xf>
    <xf numFmtId="4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44" fontId="2" fillId="6" borderId="19" xfId="0" applyNumberFormat="1" applyFont="1" applyFill="1" applyBorder="1" applyAlignment="1" applyProtection="1">
      <alignment horizontal="center" vertical="center" wrapText="1"/>
      <protection hidden="1"/>
    </xf>
    <xf numFmtId="44" fontId="2" fillId="6" borderId="5" xfId="0" applyNumberFormat="1" applyFont="1" applyFill="1" applyBorder="1" applyAlignment="1" applyProtection="1">
      <alignment horizontal="center" vertical="center" wrapText="1"/>
      <protection hidden="1"/>
    </xf>
    <xf numFmtId="44" fontId="2" fillId="5" borderId="5" xfId="0" applyNumberFormat="1" applyFont="1" applyFill="1" applyBorder="1" applyAlignment="1" applyProtection="1">
      <alignment horizontal="center" vertical="center" wrapText="1"/>
      <protection hidden="1"/>
    </xf>
    <xf numFmtId="44" fontId="3" fillId="4" borderId="3" xfId="0" applyNumberFormat="1" applyFont="1" applyFill="1" applyBorder="1" applyAlignment="1" applyProtection="1">
      <alignment horizontal="center" vertical="center"/>
      <protection hidden="1"/>
    </xf>
    <xf numFmtId="0" fontId="9" fillId="3" borderId="7" xfId="0" applyFont="1" applyFill="1" applyBorder="1" applyAlignment="1" applyProtection="1">
      <alignment horizontal="center"/>
      <protection hidden="1"/>
    </xf>
    <xf numFmtId="0" fontId="7" fillId="2" borderId="11" xfId="0" applyFont="1" applyFill="1" applyBorder="1" applyAlignment="1" applyProtection="1">
      <alignment horizontal="center" vertical="center"/>
      <protection hidden="1"/>
    </xf>
    <xf numFmtId="44" fontId="2" fillId="4" borderId="20" xfId="0" applyNumberFormat="1" applyFont="1" applyFill="1" applyBorder="1" applyAlignment="1" applyProtection="1">
      <alignment horizontal="center" vertical="center" wrapText="1"/>
      <protection hidden="1"/>
    </xf>
    <xf numFmtId="44" fontId="2" fillId="4" borderId="21" xfId="0" applyNumberFormat="1" applyFont="1" applyFill="1" applyBorder="1" applyAlignment="1" applyProtection="1">
      <alignment horizontal="center" vertical="center" wrapText="1"/>
      <protection hidden="1"/>
    </xf>
    <xf numFmtId="44" fontId="2" fillId="4" borderId="22" xfId="0" applyNumberFormat="1" applyFont="1" applyFill="1" applyBorder="1" applyAlignment="1" applyProtection="1">
      <alignment horizontal="center" vertical="center" wrapText="1"/>
      <protection hidden="1"/>
    </xf>
    <xf numFmtId="44" fontId="2" fillId="4" borderId="23" xfId="0" applyNumberFormat="1" applyFont="1" applyFill="1" applyBorder="1" applyAlignment="1" applyProtection="1">
      <alignment horizontal="center" vertical="center" wrapText="1"/>
      <protection hidden="1"/>
    </xf>
    <xf numFmtId="44" fontId="1" fillId="4" borderId="4" xfId="0" applyNumberFormat="1" applyFont="1" applyFill="1" applyBorder="1" applyAlignment="1" applyProtection="1">
      <alignment horizontal="center" vertical="center"/>
      <protection hidden="1"/>
    </xf>
    <xf numFmtId="9" fontId="9" fillId="3" borderId="6" xfId="1" applyFont="1" applyFill="1" applyBorder="1" applyAlignment="1" applyProtection="1">
      <alignment horizontal="center"/>
      <protection hidden="1"/>
    </xf>
    <xf numFmtId="9" fontId="7" fillId="2" borderId="0" xfId="1" applyFont="1" applyFill="1" applyAlignment="1" applyProtection="1">
      <alignment horizontal="center" vertical="center"/>
      <protection hidden="1"/>
    </xf>
    <xf numFmtId="9" fontId="6" fillId="3" borderId="12" xfId="1" applyFont="1" applyFill="1" applyBorder="1" applyAlignment="1" applyProtection="1">
      <alignment horizontal="center" vertical="center" wrapText="1"/>
      <protection hidden="1"/>
    </xf>
    <xf numFmtId="9" fontId="2" fillId="6" borderId="14" xfId="1" applyFont="1" applyFill="1" applyBorder="1" applyAlignment="1" applyProtection="1">
      <alignment horizontal="center" vertical="center" wrapText="1"/>
      <protection hidden="1"/>
    </xf>
    <xf numFmtId="9" fontId="2" fillId="6" borderId="1" xfId="1" applyFont="1" applyFill="1" applyBorder="1" applyAlignment="1" applyProtection="1">
      <alignment horizontal="center" vertical="center" wrapText="1"/>
      <protection hidden="1"/>
    </xf>
    <xf numFmtId="9" fontId="2" fillId="5" borderId="6" xfId="1" applyFont="1" applyFill="1" applyBorder="1" applyAlignment="1" applyProtection="1">
      <alignment horizontal="center" vertical="center" wrapText="1"/>
      <protection hidden="1"/>
    </xf>
    <xf numFmtId="9" fontId="2" fillId="5" borderId="9" xfId="1" applyFont="1" applyFill="1" applyBorder="1" applyAlignment="1" applyProtection="1">
      <alignment horizontal="center" vertical="center" wrapText="1"/>
      <protection hidden="1"/>
    </xf>
    <xf numFmtId="9" fontId="0" fillId="0" borderId="0" xfId="1" applyFont="1" applyAlignment="1" applyProtection="1">
      <alignment horizontal="center" vertical="center"/>
      <protection hidden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F2F2F2"/>
      <color rgb="FFFFFFFF"/>
      <color rgb="FFFFF2CC"/>
      <color rgb="FF0D1525"/>
      <color rgb="FFB38642"/>
      <color rgb="FF1928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28"/>
  <sheetViews>
    <sheetView showGridLines="0" tabSelected="1" zoomScaleNormal="100" workbookViewId="0">
      <pane ySplit="3" topLeftCell="A148" activePane="bottomLeft" state="frozen"/>
      <selection pane="bottomLeft" activeCell="F234" sqref="F234"/>
    </sheetView>
  </sheetViews>
  <sheetFormatPr defaultColWidth="0" defaultRowHeight="14.4" x14ac:dyDescent="0.3"/>
  <cols>
    <col min="1" max="1" width="9" style="1" customWidth="1"/>
    <col min="2" max="2" width="14.109375" style="2" customWidth="1"/>
    <col min="3" max="3" width="10.6640625" style="2" customWidth="1"/>
    <col min="4" max="4" width="13.109375" style="2" customWidth="1"/>
    <col min="5" max="5" width="12.6640625" style="2" customWidth="1"/>
    <col min="6" max="6" width="13" style="49" customWidth="1"/>
    <col min="7" max="7" width="13.6640625" style="49" customWidth="1"/>
    <col min="8" max="8" width="11.33203125" style="49" customWidth="1"/>
    <col min="9" max="9" width="14" style="6" customWidth="1"/>
    <col min="10" max="10" width="13.88671875" style="73" customWidth="1"/>
    <col min="11" max="11" width="15.88671875" style="54" customWidth="1"/>
    <col min="12" max="12" width="11.5546875" style="1" customWidth="1"/>
    <col min="13" max="13" width="12.6640625" style="49" customWidth="1"/>
    <col min="14" max="14" width="13.5546875" style="49" customWidth="1"/>
    <col min="15" max="19" width="9.109375" style="1" customWidth="1"/>
    <col min="20" max="16384" width="9.109375" style="1" hidden="1"/>
  </cols>
  <sheetData>
    <row r="1" spans="1:14" ht="29.25" customHeight="1" x14ac:dyDescent="0.55000000000000004">
      <c r="A1" s="7"/>
      <c r="B1" s="8"/>
      <c r="C1" s="8"/>
      <c r="D1" s="8"/>
      <c r="E1" s="8"/>
      <c r="F1" s="41" t="s">
        <v>0</v>
      </c>
      <c r="G1" s="41"/>
      <c r="H1" s="51"/>
      <c r="I1" s="9"/>
      <c r="J1" s="66"/>
      <c r="K1" s="51"/>
      <c r="L1" s="8"/>
      <c r="M1" s="51"/>
      <c r="N1" s="59" t="e" vm="1">
        <v>#VALUE!</v>
      </c>
    </row>
    <row r="2" spans="1:14" ht="20.25" customHeight="1" x14ac:dyDescent="0.3">
      <c r="A2" s="11"/>
      <c r="B2" s="12"/>
      <c r="C2" s="12"/>
      <c r="D2" s="13"/>
      <c r="E2" s="13" t="s">
        <v>21</v>
      </c>
      <c r="F2" s="42"/>
      <c r="G2" s="50"/>
      <c r="H2" s="50"/>
      <c r="I2" s="14"/>
      <c r="J2" s="67"/>
      <c r="K2" s="50"/>
      <c r="L2" s="12"/>
      <c r="M2" s="50"/>
      <c r="N2" s="60"/>
    </row>
    <row r="3" spans="1:14" ht="60" customHeight="1" x14ac:dyDescent="0.3">
      <c r="A3" s="27" t="s">
        <v>1</v>
      </c>
      <c r="B3" s="28" t="s">
        <v>2</v>
      </c>
      <c r="C3" s="28" t="s">
        <v>3</v>
      </c>
      <c r="D3" s="28" t="s">
        <v>4</v>
      </c>
      <c r="E3" s="28" t="s">
        <v>5</v>
      </c>
      <c r="F3" s="43" t="s">
        <v>6</v>
      </c>
      <c r="G3" s="43" t="s">
        <v>7</v>
      </c>
      <c r="H3" s="43" t="s">
        <v>8</v>
      </c>
      <c r="I3" s="29" t="s">
        <v>9</v>
      </c>
      <c r="J3" s="68" t="s">
        <v>10</v>
      </c>
      <c r="K3" s="52" t="s">
        <v>11</v>
      </c>
      <c r="L3" s="30" t="s">
        <v>12</v>
      </c>
      <c r="M3" s="43" t="s">
        <v>13</v>
      </c>
      <c r="N3" s="43" t="s">
        <v>14</v>
      </c>
    </row>
    <row r="4" spans="1:14" hidden="1" x14ac:dyDescent="0.3">
      <c r="A4" s="31">
        <v>42005</v>
      </c>
      <c r="B4" s="32"/>
      <c r="C4" s="32"/>
      <c r="D4" s="33"/>
      <c r="E4" s="33"/>
      <c r="F4" s="45">
        <f>D4-E4</f>
        <v>0</v>
      </c>
      <c r="G4" s="45">
        <f>F4</f>
        <v>0</v>
      </c>
      <c r="H4" s="45">
        <f>F4+G4</f>
        <v>0</v>
      </c>
      <c r="I4" s="34"/>
      <c r="J4" s="69">
        <f>I4*5%</f>
        <v>0</v>
      </c>
      <c r="K4" s="44">
        <f>H4*J4</f>
        <v>0</v>
      </c>
      <c r="L4" s="35"/>
      <c r="M4" s="55">
        <f t="shared" ref="M4:M15" si="0">IF(L4="Sim",(H4+K4)/6,IF(L4="Não",0,0))</f>
        <v>0</v>
      </c>
      <c r="N4" s="61">
        <f t="shared" ref="N4:N15" si="1">H4+K4+M4</f>
        <v>0</v>
      </c>
    </row>
    <row r="5" spans="1:14" ht="15" hidden="1" thickBot="1" x14ac:dyDescent="0.35">
      <c r="A5" s="36">
        <v>42036</v>
      </c>
      <c r="B5" s="15"/>
      <c r="C5" s="15"/>
      <c r="D5" s="16"/>
      <c r="E5" s="16"/>
      <c r="F5" s="45">
        <f t="shared" ref="F5:F15" si="2">D5-E5</f>
        <v>0</v>
      </c>
      <c r="G5" s="45">
        <f t="shared" ref="G5:G15" si="3">F5</f>
        <v>0</v>
      </c>
      <c r="H5" s="45">
        <f t="shared" ref="H5:H15" si="4">F5+G5</f>
        <v>0</v>
      </c>
      <c r="I5" s="18"/>
      <c r="J5" s="70">
        <f t="shared" ref="J5:J15" si="5">I5*5%</f>
        <v>0</v>
      </c>
      <c r="K5" s="45">
        <f t="shared" ref="K5:K15" si="6">H5*J5</f>
        <v>0</v>
      </c>
      <c r="L5" s="17"/>
      <c r="M5" s="56">
        <f t="shared" si="0"/>
        <v>0</v>
      </c>
      <c r="N5" s="62">
        <f t="shared" si="1"/>
        <v>0</v>
      </c>
    </row>
    <row r="6" spans="1:14" ht="15" hidden="1" thickBot="1" x14ac:dyDescent="0.35">
      <c r="A6" s="36">
        <v>42064</v>
      </c>
      <c r="B6" s="15"/>
      <c r="C6" s="15"/>
      <c r="D6" s="16"/>
      <c r="E6" s="16"/>
      <c r="F6" s="45">
        <f t="shared" si="2"/>
        <v>0</v>
      </c>
      <c r="G6" s="45">
        <f t="shared" si="3"/>
        <v>0</v>
      </c>
      <c r="H6" s="45">
        <f t="shared" si="4"/>
        <v>0</v>
      </c>
      <c r="I6" s="18"/>
      <c r="J6" s="70">
        <f t="shared" si="5"/>
        <v>0</v>
      </c>
      <c r="K6" s="45">
        <f t="shared" si="6"/>
        <v>0</v>
      </c>
      <c r="L6" s="17"/>
      <c r="M6" s="56">
        <f t="shared" si="0"/>
        <v>0</v>
      </c>
      <c r="N6" s="62">
        <f t="shared" si="1"/>
        <v>0</v>
      </c>
    </row>
    <row r="7" spans="1:14" ht="15" hidden="1" thickBot="1" x14ac:dyDescent="0.35">
      <c r="A7" s="36">
        <v>42095</v>
      </c>
      <c r="B7" s="15"/>
      <c r="C7" s="15"/>
      <c r="D7" s="16"/>
      <c r="E7" s="16"/>
      <c r="F7" s="45">
        <f t="shared" si="2"/>
        <v>0</v>
      </c>
      <c r="G7" s="45">
        <f t="shared" si="3"/>
        <v>0</v>
      </c>
      <c r="H7" s="45">
        <f t="shared" si="4"/>
        <v>0</v>
      </c>
      <c r="I7" s="18"/>
      <c r="J7" s="70">
        <f t="shared" si="5"/>
        <v>0</v>
      </c>
      <c r="K7" s="45">
        <f t="shared" si="6"/>
        <v>0</v>
      </c>
      <c r="L7" s="17"/>
      <c r="M7" s="56">
        <f t="shared" si="0"/>
        <v>0</v>
      </c>
      <c r="N7" s="62">
        <f t="shared" si="1"/>
        <v>0</v>
      </c>
    </row>
    <row r="8" spans="1:14" ht="15" hidden="1" thickBot="1" x14ac:dyDescent="0.35">
      <c r="A8" s="36">
        <v>42125</v>
      </c>
      <c r="B8" s="15"/>
      <c r="C8" s="15"/>
      <c r="D8" s="16"/>
      <c r="E8" s="16"/>
      <c r="F8" s="45">
        <f t="shared" si="2"/>
        <v>0</v>
      </c>
      <c r="G8" s="45">
        <f t="shared" si="3"/>
        <v>0</v>
      </c>
      <c r="H8" s="45">
        <f t="shared" si="4"/>
        <v>0</v>
      </c>
      <c r="I8" s="18"/>
      <c r="J8" s="70">
        <f t="shared" si="5"/>
        <v>0</v>
      </c>
      <c r="K8" s="45">
        <f t="shared" si="6"/>
        <v>0</v>
      </c>
      <c r="L8" s="17"/>
      <c r="M8" s="56">
        <f t="shared" si="0"/>
        <v>0</v>
      </c>
      <c r="N8" s="62">
        <f t="shared" si="1"/>
        <v>0</v>
      </c>
    </row>
    <row r="9" spans="1:14" ht="15" hidden="1" thickBot="1" x14ac:dyDescent="0.35">
      <c r="A9" s="36">
        <v>42156</v>
      </c>
      <c r="B9" s="15"/>
      <c r="C9" s="15"/>
      <c r="D9" s="16"/>
      <c r="E9" s="16"/>
      <c r="F9" s="45">
        <f t="shared" si="2"/>
        <v>0</v>
      </c>
      <c r="G9" s="45">
        <f t="shared" si="3"/>
        <v>0</v>
      </c>
      <c r="H9" s="45">
        <f t="shared" si="4"/>
        <v>0</v>
      </c>
      <c r="I9" s="18"/>
      <c r="J9" s="70">
        <f t="shared" si="5"/>
        <v>0</v>
      </c>
      <c r="K9" s="45">
        <f t="shared" si="6"/>
        <v>0</v>
      </c>
      <c r="L9" s="17"/>
      <c r="M9" s="56">
        <f t="shared" si="0"/>
        <v>0</v>
      </c>
      <c r="N9" s="62">
        <f t="shared" si="1"/>
        <v>0</v>
      </c>
    </row>
    <row r="10" spans="1:14" ht="15" hidden="1" thickBot="1" x14ac:dyDescent="0.35">
      <c r="A10" s="36">
        <v>42186</v>
      </c>
      <c r="B10" s="15"/>
      <c r="C10" s="15"/>
      <c r="D10" s="16"/>
      <c r="E10" s="16"/>
      <c r="F10" s="45">
        <f t="shared" si="2"/>
        <v>0</v>
      </c>
      <c r="G10" s="45">
        <f t="shared" si="3"/>
        <v>0</v>
      </c>
      <c r="H10" s="45">
        <f t="shared" si="4"/>
        <v>0</v>
      </c>
      <c r="I10" s="18"/>
      <c r="J10" s="70">
        <f t="shared" si="5"/>
        <v>0</v>
      </c>
      <c r="K10" s="45">
        <f t="shared" si="6"/>
        <v>0</v>
      </c>
      <c r="L10" s="17"/>
      <c r="M10" s="56">
        <f t="shared" si="0"/>
        <v>0</v>
      </c>
      <c r="N10" s="62">
        <f t="shared" si="1"/>
        <v>0</v>
      </c>
    </row>
    <row r="11" spans="1:14" ht="15" hidden="1" thickBot="1" x14ac:dyDescent="0.35">
      <c r="A11" s="36">
        <v>42217</v>
      </c>
      <c r="B11" s="15"/>
      <c r="C11" s="15"/>
      <c r="D11" s="16"/>
      <c r="E11" s="16"/>
      <c r="F11" s="45">
        <f t="shared" si="2"/>
        <v>0</v>
      </c>
      <c r="G11" s="45">
        <f t="shared" si="3"/>
        <v>0</v>
      </c>
      <c r="H11" s="45">
        <f t="shared" si="4"/>
        <v>0</v>
      </c>
      <c r="I11" s="18"/>
      <c r="J11" s="70">
        <f t="shared" si="5"/>
        <v>0</v>
      </c>
      <c r="K11" s="45">
        <f t="shared" si="6"/>
        <v>0</v>
      </c>
      <c r="L11" s="17"/>
      <c r="M11" s="56">
        <f t="shared" si="0"/>
        <v>0</v>
      </c>
      <c r="N11" s="62">
        <f t="shared" si="1"/>
        <v>0</v>
      </c>
    </row>
    <row r="12" spans="1:14" ht="15" hidden="1" thickBot="1" x14ac:dyDescent="0.35">
      <c r="A12" s="36">
        <v>42248</v>
      </c>
      <c r="B12" s="15"/>
      <c r="C12" s="15"/>
      <c r="D12" s="16"/>
      <c r="E12" s="16"/>
      <c r="F12" s="45">
        <f t="shared" si="2"/>
        <v>0</v>
      </c>
      <c r="G12" s="45">
        <f t="shared" si="3"/>
        <v>0</v>
      </c>
      <c r="H12" s="45">
        <f t="shared" si="4"/>
        <v>0</v>
      </c>
      <c r="I12" s="18"/>
      <c r="J12" s="70">
        <f t="shared" si="5"/>
        <v>0</v>
      </c>
      <c r="K12" s="45">
        <f t="shared" si="6"/>
        <v>0</v>
      </c>
      <c r="L12" s="17"/>
      <c r="M12" s="56">
        <f t="shared" si="0"/>
        <v>0</v>
      </c>
      <c r="N12" s="62">
        <f t="shared" si="1"/>
        <v>0</v>
      </c>
    </row>
    <row r="13" spans="1:14" ht="15" hidden="1" thickBot="1" x14ac:dyDescent="0.35">
      <c r="A13" s="36">
        <v>42278</v>
      </c>
      <c r="B13" s="15"/>
      <c r="C13" s="15"/>
      <c r="D13" s="16"/>
      <c r="E13" s="16"/>
      <c r="F13" s="45">
        <f t="shared" si="2"/>
        <v>0</v>
      </c>
      <c r="G13" s="45">
        <f t="shared" si="3"/>
        <v>0</v>
      </c>
      <c r="H13" s="45">
        <f t="shared" si="4"/>
        <v>0</v>
      </c>
      <c r="I13" s="18"/>
      <c r="J13" s="70">
        <f t="shared" si="5"/>
        <v>0</v>
      </c>
      <c r="K13" s="45">
        <f t="shared" si="6"/>
        <v>0</v>
      </c>
      <c r="L13" s="17"/>
      <c r="M13" s="56">
        <f t="shared" si="0"/>
        <v>0</v>
      </c>
      <c r="N13" s="62">
        <f t="shared" si="1"/>
        <v>0</v>
      </c>
    </row>
    <row r="14" spans="1:14" ht="15" hidden="1" thickBot="1" x14ac:dyDescent="0.35">
      <c r="A14" s="36">
        <v>42309</v>
      </c>
      <c r="B14" s="15"/>
      <c r="C14" s="15"/>
      <c r="D14" s="16"/>
      <c r="E14" s="16"/>
      <c r="F14" s="45">
        <f t="shared" si="2"/>
        <v>0</v>
      </c>
      <c r="G14" s="45">
        <f t="shared" si="3"/>
        <v>0</v>
      </c>
      <c r="H14" s="45">
        <f t="shared" si="4"/>
        <v>0</v>
      </c>
      <c r="I14" s="18"/>
      <c r="J14" s="70">
        <f t="shared" si="5"/>
        <v>0</v>
      </c>
      <c r="K14" s="45">
        <f t="shared" si="6"/>
        <v>0</v>
      </c>
      <c r="L14" s="17"/>
      <c r="M14" s="56">
        <f t="shared" si="0"/>
        <v>0</v>
      </c>
      <c r="N14" s="62">
        <f t="shared" si="1"/>
        <v>0</v>
      </c>
    </row>
    <row r="15" spans="1:14" hidden="1" x14ac:dyDescent="0.3">
      <c r="A15" s="36">
        <v>42339</v>
      </c>
      <c r="B15" s="15"/>
      <c r="C15" s="15"/>
      <c r="D15" s="16"/>
      <c r="E15" s="16"/>
      <c r="F15" s="45">
        <f t="shared" si="2"/>
        <v>0</v>
      </c>
      <c r="G15" s="45">
        <f t="shared" si="3"/>
        <v>0</v>
      </c>
      <c r="H15" s="45">
        <f t="shared" si="4"/>
        <v>0</v>
      </c>
      <c r="I15" s="18"/>
      <c r="J15" s="70">
        <f t="shared" si="5"/>
        <v>0</v>
      </c>
      <c r="K15" s="45">
        <f t="shared" si="6"/>
        <v>0</v>
      </c>
      <c r="L15" s="17"/>
      <c r="M15" s="56">
        <f t="shared" si="0"/>
        <v>0</v>
      </c>
      <c r="N15" s="62">
        <f t="shared" si="1"/>
        <v>0</v>
      </c>
    </row>
    <row r="16" spans="1:14" hidden="1" x14ac:dyDescent="0.3">
      <c r="A16" s="37" t="s">
        <v>15</v>
      </c>
      <c r="B16" s="19"/>
      <c r="C16" s="20"/>
      <c r="D16" s="20"/>
      <c r="E16" s="20"/>
      <c r="F16" s="46"/>
      <c r="G16" s="46"/>
      <c r="H16" s="46"/>
      <c r="I16" s="22"/>
      <c r="J16" s="71"/>
      <c r="K16" s="46"/>
      <c r="L16" s="21"/>
      <c r="M16" s="46"/>
      <c r="N16" s="62">
        <f>SUM(N4:N15)/12</f>
        <v>0</v>
      </c>
    </row>
    <row r="17" spans="1:14" ht="15" hidden="1" thickBot="1" x14ac:dyDescent="0.35">
      <c r="A17" s="38" t="s">
        <v>16</v>
      </c>
      <c r="B17" s="23"/>
      <c r="C17" s="24"/>
      <c r="D17" s="24"/>
      <c r="E17" s="24"/>
      <c r="F17" s="47"/>
      <c r="G17" s="47"/>
      <c r="H17" s="47"/>
      <c r="I17" s="26"/>
      <c r="J17" s="72"/>
      <c r="K17" s="47"/>
      <c r="L17" s="25"/>
      <c r="M17" s="47"/>
      <c r="N17" s="62">
        <f>N16/3</f>
        <v>0</v>
      </c>
    </row>
    <row r="18" spans="1:14" ht="15" hidden="1" thickBot="1" x14ac:dyDescent="0.35">
      <c r="A18" s="36">
        <v>42370</v>
      </c>
      <c r="B18" s="15"/>
      <c r="C18" s="15"/>
      <c r="D18" s="16"/>
      <c r="E18" s="16"/>
      <c r="F18" s="45">
        <f t="shared" ref="F18:F29" si="7">D18-E18</f>
        <v>0</v>
      </c>
      <c r="G18" s="45">
        <f t="shared" ref="G18:G29" si="8">F18</f>
        <v>0</v>
      </c>
      <c r="H18" s="45">
        <f t="shared" ref="H18:H29" si="9">F18+G18</f>
        <v>0</v>
      </c>
      <c r="I18" s="18"/>
      <c r="J18" s="70">
        <f t="shared" ref="J18:J29" si="10">I18*5%</f>
        <v>0</v>
      </c>
      <c r="K18" s="45">
        <f t="shared" ref="K18:K29" si="11">H18*J18</f>
        <v>0</v>
      </c>
      <c r="L18" s="17"/>
      <c r="M18" s="56">
        <f t="shared" ref="M18:M29" si="12">IF(L18="Sim",(H18+K18)/6,IF(L18="Não",0,0))</f>
        <v>0</v>
      </c>
      <c r="N18" s="62">
        <f t="shared" ref="N18:N29" si="13">H18+K18+M18</f>
        <v>0</v>
      </c>
    </row>
    <row r="19" spans="1:14" ht="15" hidden="1" thickBot="1" x14ac:dyDescent="0.35">
      <c r="A19" s="36">
        <v>42401</v>
      </c>
      <c r="B19" s="15"/>
      <c r="C19" s="15"/>
      <c r="D19" s="16"/>
      <c r="E19" s="16"/>
      <c r="F19" s="45">
        <f t="shared" si="7"/>
        <v>0</v>
      </c>
      <c r="G19" s="45">
        <f t="shared" si="8"/>
        <v>0</v>
      </c>
      <c r="H19" s="45">
        <f t="shared" si="9"/>
        <v>0</v>
      </c>
      <c r="I19" s="18"/>
      <c r="J19" s="70">
        <f t="shared" si="10"/>
        <v>0</v>
      </c>
      <c r="K19" s="45">
        <f t="shared" si="11"/>
        <v>0</v>
      </c>
      <c r="L19" s="17"/>
      <c r="M19" s="56">
        <f t="shared" si="12"/>
        <v>0</v>
      </c>
      <c r="N19" s="62">
        <f t="shared" si="13"/>
        <v>0</v>
      </c>
    </row>
    <row r="20" spans="1:14" ht="15" hidden="1" thickBot="1" x14ac:dyDescent="0.35">
      <c r="A20" s="36">
        <v>42430</v>
      </c>
      <c r="B20" s="15"/>
      <c r="C20" s="15"/>
      <c r="D20" s="16"/>
      <c r="E20" s="16"/>
      <c r="F20" s="45">
        <f t="shared" si="7"/>
        <v>0</v>
      </c>
      <c r="G20" s="45">
        <f t="shared" si="8"/>
        <v>0</v>
      </c>
      <c r="H20" s="45">
        <f t="shared" si="9"/>
        <v>0</v>
      </c>
      <c r="I20" s="18"/>
      <c r="J20" s="70">
        <f t="shared" si="10"/>
        <v>0</v>
      </c>
      <c r="K20" s="45">
        <f t="shared" si="11"/>
        <v>0</v>
      </c>
      <c r="L20" s="17"/>
      <c r="M20" s="56">
        <f t="shared" si="12"/>
        <v>0</v>
      </c>
      <c r="N20" s="62">
        <f t="shared" si="13"/>
        <v>0</v>
      </c>
    </row>
    <row r="21" spans="1:14" ht="15" hidden="1" thickBot="1" x14ac:dyDescent="0.35">
      <c r="A21" s="36">
        <v>42461</v>
      </c>
      <c r="B21" s="15"/>
      <c r="C21" s="15"/>
      <c r="D21" s="16"/>
      <c r="E21" s="16"/>
      <c r="F21" s="45">
        <f t="shared" si="7"/>
        <v>0</v>
      </c>
      <c r="G21" s="45">
        <f t="shared" si="8"/>
        <v>0</v>
      </c>
      <c r="H21" s="45">
        <f t="shared" si="9"/>
        <v>0</v>
      </c>
      <c r="I21" s="18"/>
      <c r="J21" s="70">
        <f t="shared" si="10"/>
        <v>0</v>
      </c>
      <c r="K21" s="45">
        <f t="shared" si="11"/>
        <v>0</v>
      </c>
      <c r="L21" s="17"/>
      <c r="M21" s="56">
        <f t="shared" si="12"/>
        <v>0</v>
      </c>
      <c r="N21" s="62">
        <f t="shared" si="13"/>
        <v>0</v>
      </c>
    </row>
    <row r="22" spans="1:14" ht="15" hidden="1" thickBot="1" x14ac:dyDescent="0.35">
      <c r="A22" s="36">
        <v>42491</v>
      </c>
      <c r="B22" s="15"/>
      <c r="C22" s="15"/>
      <c r="D22" s="16"/>
      <c r="E22" s="16"/>
      <c r="F22" s="45">
        <f t="shared" si="7"/>
        <v>0</v>
      </c>
      <c r="G22" s="45">
        <f t="shared" si="8"/>
        <v>0</v>
      </c>
      <c r="H22" s="45">
        <f t="shared" si="9"/>
        <v>0</v>
      </c>
      <c r="I22" s="18"/>
      <c r="J22" s="70">
        <f t="shared" si="10"/>
        <v>0</v>
      </c>
      <c r="K22" s="45">
        <f t="shared" si="11"/>
        <v>0</v>
      </c>
      <c r="L22" s="17"/>
      <c r="M22" s="56">
        <f t="shared" si="12"/>
        <v>0</v>
      </c>
      <c r="N22" s="62">
        <f t="shared" si="13"/>
        <v>0</v>
      </c>
    </row>
    <row r="23" spans="1:14" ht="15" hidden="1" thickBot="1" x14ac:dyDescent="0.35">
      <c r="A23" s="36">
        <v>42522</v>
      </c>
      <c r="B23" s="15"/>
      <c r="C23" s="15"/>
      <c r="D23" s="16"/>
      <c r="E23" s="16"/>
      <c r="F23" s="45">
        <f t="shared" si="7"/>
        <v>0</v>
      </c>
      <c r="G23" s="45">
        <f t="shared" si="8"/>
        <v>0</v>
      </c>
      <c r="H23" s="45">
        <f t="shared" si="9"/>
        <v>0</v>
      </c>
      <c r="I23" s="18"/>
      <c r="J23" s="70">
        <f t="shared" si="10"/>
        <v>0</v>
      </c>
      <c r="K23" s="45">
        <f t="shared" si="11"/>
        <v>0</v>
      </c>
      <c r="L23" s="17"/>
      <c r="M23" s="56">
        <f t="shared" si="12"/>
        <v>0</v>
      </c>
      <c r="N23" s="62">
        <f t="shared" si="13"/>
        <v>0</v>
      </c>
    </row>
    <row r="24" spans="1:14" ht="15" hidden="1" thickBot="1" x14ac:dyDescent="0.35">
      <c r="A24" s="36">
        <v>42552</v>
      </c>
      <c r="B24" s="15"/>
      <c r="C24" s="15"/>
      <c r="D24" s="16"/>
      <c r="E24" s="16"/>
      <c r="F24" s="45">
        <f t="shared" si="7"/>
        <v>0</v>
      </c>
      <c r="G24" s="45">
        <f t="shared" si="8"/>
        <v>0</v>
      </c>
      <c r="H24" s="45">
        <f t="shared" si="9"/>
        <v>0</v>
      </c>
      <c r="I24" s="18"/>
      <c r="J24" s="70">
        <f t="shared" si="10"/>
        <v>0</v>
      </c>
      <c r="K24" s="45">
        <f t="shared" si="11"/>
        <v>0</v>
      </c>
      <c r="L24" s="17"/>
      <c r="M24" s="56">
        <f t="shared" si="12"/>
        <v>0</v>
      </c>
      <c r="N24" s="62">
        <f t="shared" si="13"/>
        <v>0</v>
      </c>
    </row>
    <row r="25" spans="1:14" ht="15" hidden="1" thickBot="1" x14ac:dyDescent="0.35">
      <c r="A25" s="36">
        <v>42583</v>
      </c>
      <c r="B25" s="15"/>
      <c r="C25" s="15"/>
      <c r="D25" s="16"/>
      <c r="E25" s="16"/>
      <c r="F25" s="45">
        <f t="shared" si="7"/>
        <v>0</v>
      </c>
      <c r="G25" s="45">
        <f t="shared" si="8"/>
        <v>0</v>
      </c>
      <c r="H25" s="45">
        <f t="shared" si="9"/>
        <v>0</v>
      </c>
      <c r="I25" s="18"/>
      <c r="J25" s="70">
        <f t="shared" si="10"/>
        <v>0</v>
      </c>
      <c r="K25" s="45">
        <f t="shared" si="11"/>
        <v>0</v>
      </c>
      <c r="L25" s="17"/>
      <c r="M25" s="56">
        <f t="shared" si="12"/>
        <v>0</v>
      </c>
      <c r="N25" s="62">
        <f t="shared" si="13"/>
        <v>0</v>
      </c>
    </row>
    <row r="26" spans="1:14" ht="15" hidden="1" thickBot="1" x14ac:dyDescent="0.35">
      <c r="A26" s="36">
        <v>42614</v>
      </c>
      <c r="B26" s="15"/>
      <c r="C26" s="15"/>
      <c r="D26" s="16"/>
      <c r="E26" s="16"/>
      <c r="F26" s="45">
        <f t="shared" si="7"/>
        <v>0</v>
      </c>
      <c r="G26" s="45">
        <f t="shared" si="8"/>
        <v>0</v>
      </c>
      <c r="H26" s="45">
        <f t="shared" si="9"/>
        <v>0</v>
      </c>
      <c r="I26" s="18"/>
      <c r="J26" s="70">
        <f t="shared" si="10"/>
        <v>0</v>
      </c>
      <c r="K26" s="45">
        <f t="shared" si="11"/>
        <v>0</v>
      </c>
      <c r="L26" s="17"/>
      <c r="M26" s="56">
        <f t="shared" si="12"/>
        <v>0</v>
      </c>
      <c r="N26" s="62">
        <f t="shared" si="13"/>
        <v>0</v>
      </c>
    </row>
    <row r="27" spans="1:14" ht="15" hidden="1" thickBot="1" x14ac:dyDescent="0.35">
      <c r="A27" s="36">
        <v>42644</v>
      </c>
      <c r="B27" s="15"/>
      <c r="C27" s="15"/>
      <c r="D27" s="16"/>
      <c r="E27" s="16"/>
      <c r="F27" s="45">
        <f t="shared" si="7"/>
        <v>0</v>
      </c>
      <c r="G27" s="45">
        <f t="shared" si="8"/>
        <v>0</v>
      </c>
      <c r="H27" s="45">
        <f t="shared" si="9"/>
        <v>0</v>
      </c>
      <c r="I27" s="18"/>
      <c r="J27" s="70">
        <f t="shared" si="10"/>
        <v>0</v>
      </c>
      <c r="K27" s="45">
        <f t="shared" si="11"/>
        <v>0</v>
      </c>
      <c r="L27" s="17"/>
      <c r="M27" s="56">
        <f t="shared" si="12"/>
        <v>0</v>
      </c>
      <c r="N27" s="62">
        <f t="shared" si="13"/>
        <v>0</v>
      </c>
    </row>
    <row r="28" spans="1:14" ht="15" hidden="1" thickBot="1" x14ac:dyDescent="0.35">
      <c r="A28" s="36">
        <v>42675</v>
      </c>
      <c r="B28" s="15"/>
      <c r="C28" s="15"/>
      <c r="D28" s="16"/>
      <c r="E28" s="16"/>
      <c r="F28" s="45">
        <f t="shared" si="7"/>
        <v>0</v>
      </c>
      <c r="G28" s="45">
        <f t="shared" si="8"/>
        <v>0</v>
      </c>
      <c r="H28" s="45">
        <f t="shared" si="9"/>
        <v>0</v>
      </c>
      <c r="I28" s="18"/>
      <c r="J28" s="70">
        <f t="shared" si="10"/>
        <v>0</v>
      </c>
      <c r="K28" s="45">
        <f t="shared" si="11"/>
        <v>0</v>
      </c>
      <c r="L28" s="17"/>
      <c r="M28" s="56">
        <f t="shared" si="12"/>
        <v>0</v>
      </c>
      <c r="N28" s="62">
        <f t="shared" si="13"/>
        <v>0</v>
      </c>
    </row>
    <row r="29" spans="1:14" hidden="1" x14ac:dyDescent="0.3">
      <c r="A29" s="36">
        <v>42705</v>
      </c>
      <c r="B29" s="15"/>
      <c r="C29" s="15"/>
      <c r="D29" s="16"/>
      <c r="E29" s="16"/>
      <c r="F29" s="45">
        <f t="shared" si="7"/>
        <v>0</v>
      </c>
      <c r="G29" s="45">
        <f t="shared" si="8"/>
        <v>0</v>
      </c>
      <c r="H29" s="45">
        <f t="shared" si="9"/>
        <v>0</v>
      </c>
      <c r="I29" s="18"/>
      <c r="J29" s="70">
        <f t="shared" si="10"/>
        <v>0</v>
      </c>
      <c r="K29" s="45">
        <f t="shared" si="11"/>
        <v>0</v>
      </c>
      <c r="L29" s="17"/>
      <c r="M29" s="56">
        <f t="shared" si="12"/>
        <v>0</v>
      </c>
      <c r="N29" s="62">
        <f t="shared" si="13"/>
        <v>0</v>
      </c>
    </row>
    <row r="30" spans="1:14" hidden="1" x14ac:dyDescent="0.3">
      <c r="A30" s="37" t="s">
        <v>15</v>
      </c>
      <c r="B30" s="19"/>
      <c r="C30" s="20"/>
      <c r="D30" s="20"/>
      <c r="E30" s="20"/>
      <c r="F30" s="46"/>
      <c r="G30" s="46"/>
      <c r="H30" s="46"/>
      <c r="I30" s="22"/>
      <c r="J30" s="71"/>
      <c r="K30" s="46"/>
      <c r="L30" s="21"/>
      <c r="M30" s="46"/>
      <c r="N30" s="62">
        <f>SUM(N18:N29)/12</f>
        <v>0</v>
      </c>
    </row>
    <row r="31" spans="1:14" ht="15" hidden="1" thickBot="1" x14ac:dyDescent="0.35">
      <c r="A31" s="38" t="s">
        <v>16</v>
      </c>
      <c r="B31" s="23"/>
      <c r="C31" s="24"/>
      <c r="D31" s="24"/>
      <c r="E31" s="24"/>
      <c r="F31" s="47"/>
      <c r="G31" s="47"/>
      <c r="H31" s="47"/>
      <c r="I31" s="26"/>
      <c r="J31" s="72"/>
      <c r="K31" s="47"/>
      <c r="L31" s="25"/>
      <c r="M31" s="47"/>
      <c r="N31" s="62">
        <f>N30/3</f>
        <v>0</v>
      </c>
    </row>
    <row r="32" spans="1:14" ht="15" hidden="1" thickBot="1" x14ac:dyDescent="0.35">
      <c r="A32" s="36">
        <v>42736</v>
      </c>
      <c r="B32" s="15"/>
      <c r="C32" s="15"/>
      <c r="D32" s="16"/>
      <c r="E32" s="16"/>
      <c r="F32" s="45">
        <f t="shared" ref="F32:F43" si="14">D32-E32</f>
        <v>0</v>
      </c>
      <c r="G32" s="45">
        <f t="shared" ref="G32:G43" si="15">F32</f>
        <v>0</v>
      </c>
      <c r="H32" s="45">
        <f t="shared" ref="H32:H43" si="16">F32+G32</f>
        <v>0</v>
      </c>
      <c r="I32" s="18"/>
      <c r="J32" s="70">
        <f t="shared" ref="J32:J43" si="17">I32*5%</f>
        <v>0</v>
      </c>
      <c r="K32" s="45">
        <f t="shared" ref="K32:K43" si="18">H32*J32</f>
        <v>0</v>
      </c>
      <c r="L32" s="17"/>
      <c r="M32" s="56">
        <f t="shared" ref="M32:M43" si="19">IF(L32="Sim",(H32+K32)/6,IF(L32="Não",0,0))</f>
        <v>0</v>
      </c>
      <c r="N32" s="62">
        <f t="shared" ref="N32:N43" si="20">H32+K32+M32</f>
        <v>0</v>
      </c>
    </row>
    <row r="33" spans="1:14" ht="15" hidden="1" thickBot="1" x14ac:dyDescent="0.35">
      <c r="A33" s="36">
        <v>42767</v>
      </c>
      <c r="B33" s="15"/>
      <c r="C33" s="15"/>
      <c r="D33" s="16"/>
      <c r="E33" s="16"/>
      <c r="F33" s="45">
        <f t="shared" si="14"/>
        <v>0</v>
      </c>
      <c r="G33" s="45">
        <f t="shared" si="15"/>
        <v>0</v>
      </c>
      <c r="H33" s="45">
        <f t="shared" si="16"/>
        <v>0</v>
      </c>
      <c r="I33" s="18"/>
      <c r="J33" s="70">
        <f t="shared" si="17"/>
        <v>0</v>
      </c>
      <c r="K33" s="45">
        <f t="shared" si="18"/>
        <v>0</v>
      </c>
      <c r="L33" s="17"/>
      <c r="M33" s="56">
        <f t="shared" si="19"/>
        <v>0</v>
      </c>
      <c r="N33" s="62">
        <f t="shared" si="20"/>
        <v>0</v>
      </c>
    </row>
    <row r="34" spans="1:14" ht="15" hidden="1" thickBot="1" x14ac:dyDescent="0.35">
      <c r="A34" s="36">
        <v>42795</v>
      </c>
      <c r="B34" s="15"/>
      <c r="C34" s="15"/>
      <c r="D34" s="16"/>
      <c r="E34" s="16"/>
      <c r="F34" s="45">
        <f t="shared" si="14"/>
        <v>0</v>
      </c>
      <c r="G34" s="45">
        <f t="shared" si="15"/>
        <v>0</v>
      </c>
      <c r="H34" s="45">
        <f t="shared" si="16"/>
        <v>0</v>
      </c>
      <c r="I34" s="18"/>
      <c r="J34" s="70">
        <f t="shared" si="17"/>
        <v>0</v>
      </c>
      <c r="K34" s="45">
        <f t="shared" si="18"/>
        <v>0</v>
      </c>
      <c r="L34" s="17"/>
      <c r="M34" s="56">
        <f t="shared" si="19"/>
        <v>0</v>
      </c>
      <c r="N34" s="62">
        <f t="shared" si="20"/>
        <v>0</v>
      </c>
    </row>
    <row r="35" spans="1:14" ht="15" hidden="1" thickBot="1" x14ac:dyDescent="0.35">
      <c r="A35" s="36">
        <v>42826</v>
      </c>
      <c r="B35" s="15"/>
      <c r="C35" s="15"/>
      <c r="D35" s="16"/>
      <c r="E35" s="16"/>
      <c r="F35" s="45">
        <f t="shared" si="14"/>
        <v>0</v>
      </c>
      <c r="G35" s="45">
        <f t="shared" si="15"/>
        <v>0</v>
      </c>
      <c r="H35" s="45">
        <f t="shared" si="16"/>
        <v>0</v>
      </c>
      <c r="I35" s="18"/>
      <c r="J35" s="70">
        <f t="shared" si="17"/>
        <v>0</v>
      </c>
      <c r="K35" s="45">
        <f t="shared" si="18"/>
        <v>0</v>
      </c>
      <c r="L35" s="17"/>
      <c r="M35" s="56">
        <f t="shared" si="19"/>
        <v>0</v>
      </c>
      <c r="N35" s="62">
        <f t="shared" si="20"/>
        <v>0</v>
      </c>
    </row>
    <row r="36" spans="1:14" ht="15" hidden="1" thickBot="1" x14ac:dyDescent="0.35">
      <c r="A36" s="36">
        <v>42856</v>
      </c>
      <c r="B36" s="15"/>
      <c r="C36" s="15"/>
      <c r="D36" s="16"/>
      <c r="E36" s="16"/>
      <c r="F36" s="45">
        <f t="shared" si="14"/>
        <v>0</v>
      </c>
      <c r="G36" s="45">
        <f t="shared" si="15"/>
        <v>0</v>
      </c>
      <c r="H36" s="45">
        <f t="shared" si="16"/>
        <v>0</v>
      </c>
      <c r="I36" s="18"/>
      <c r="J36" s="70">
        <f t="shared" si="17"/>
        <v>0</v>
      </c>
      <c r="K36" s="45">
        <f t="shared" si="18"/>
        <v>0</v>
      </c>
      <c r="L36" s="17"/>
      <c r="M36" s="56">
        <f t="shared" si="19"/>
        <v>0</v>
      </c>
      <c r="N36" s="62">
        <f t="shared" si="20"/>
        <v>0</v>
      </c>
    </row>
    <row r="37" spans="1:14" ht="15" hidden="1" thickBot="1" x14ac:dyDescent="0.35">
      <c r="A37" s="36">
        <v>42887</v>
      </c>
      <c r="B37" s="15"/>
      <c r="C37" s="15"/>
      <c r="D37" s="16"/>
      <c r="E37" s="16"/>
      <c r="F37" s="45">
        <f t="shared" si="14"/>
        <v>0</v>
      </c>
      <c r="G37" s="45">
        <f t="shared" si="15"/>
        <v>0</v>
      </c>
      <c r="H37" s="45">
        <f t="shared" si="16"/>
        <v>0</v>
      </c>
      <c r="I37" s="18"/>
      <c r="J37" s="70">
        <f t="shared" si="17"/>
        <v>0</v>
      </c>
      <c r="K37" s="45">
        <f t="shared" si="18"/>
        <v>0</v>
      </c>
      <c r="L37" s="17"/>
      <c r="M37" s="56">
        <f t="shared" si="19"/>
        <v>0</v>
      </c>
      <c r="N37" s="62">
        <f t="shared" si="20"/>
        <v>0</v>
      </c>
    </row>
    <row r="38" spans="1:14" ht="15" hidden="1" thickBot="1" x14ac:dyDescent="0.35">
      <c r="A38" s="36">
        <v>42917</v>
      </c>
      <c r="B38" s="15"/>
      <c r="C38" s="15"/>
      <c r="D38" s="16"/>
      <c r="E38" s="16"/>
      <c r="F38" s="45">
        <f t="shared" si="14"/>
        <v>0</v>
      </c>
      <c r="G38" s="45">
        <f t="shared" si="15"/>
        <v>0</v>
      </c>
      <c r="H38" s="45">
        <f t="shared" si="16"/>
        <v>0</v>
      </c>
      <c r="I38" s="18"/>
      <c r="J38" s="70">
        <f t="shared" si="17"/>
        <v>0</v>
      </c>
      <c r="K38" s="45">
        <f t="shared" si="18"/>
        <v>0</v>
      </c>
      <c r="L38" s="17"/>
      <c r="M38" s="56">
        <f t="shared" si="19"/>
        <v>0</v>
      </c>
      <c r="N38" s="62">
        <f t="shared" si="20"/>
        <v>0</v>
      </c>
    </row>
    <row r="39" spans="1:14" ht="15" hidden="1" thickBot="1" x14ac:dyDescent="0.35">
      <c r="A39" s="36">
        <v>42948</v>
      </c>
      <c r="B39" s="15"/>
      <c r="C39" s="15"/>
      <c r="D39" s="16"/>
      <c r="E39" s="16"/>
      <c r="F39" s="45">
        <f t="shared" si="14"/>
        <v>0</v>
      </c>
      <c r="G39" s="45">
        <f t="shared" si="15"/>
        <v>0</v>
      </c>
      <c r="H39" s="45">
        <f t="shared" si="16"/>
        <v>0</v>
      </c>
      <c r="I39" s="18"/>
      <c r="J39" s="70">
        <f t="shared" si="17"/>
        <v>0</v>
      </c>
      <c r="K39" s="45">
        <f t="shared" si="18"/>
        <v>0</v>
      </c>
      <c r="L39" s="17"/>
      <c r="M39" s="56">
        <f t="shared" si="19"/>
        <v>0</v>
      </c>
      <c r="N39" s="62">
        <f t="shared" si="20"/>
        <v>0</v>
      </c>
    </row>
    <row r="40" spans="1:14" ht="15" hidden="1" thickBot="1" x14ac:dyDescent="0.35">
      <c r="A40" s="36">
        <v>42979</v>
      </c>
      <c r="B40" s="15"/>
      <c r="C40" s="15"/>
      <c r="D40" s="16"/>
      <c r="E40" s="16"/>
      <c r="F40" s="45">
        <f t="shared" si="14"/>
        <v>0</v>
      </c>
      <c r="G40" s="45">
        <f t="shared" si="15"/>
        <v>0</v>
      </c>
      <c r="H40" s="45">
        <f t="shared" si="16"/>
        <v>0</v>
      </c>
      <c r="I40" s="18"/>
      <c r="J40" s="70">
        <f t="shared" si="17"/>
        <v>0</v>
      </c>
      <c r="K40" s="45">
        <f t="shared" si="18"/>
        <v>0</v>
      </c>
      <c r="L40" s="17"/>
      <c r="M40" s="56">
        <f t="shared" si="19"/>
        <v>0</v>
      </c>
      <c r="N40" s="62">
        <f t="shared" si="20"/>
        <v>0</v>
      </c>
    </row>
    <row r="41" spans="1:14" ht="15" hidden="1" thickBot="1" x14ac:dyDescent="0.35">
      <c r="A41" s="36">
        <v>43009</v>
      </c>
      <c r="B41" s="15"/>
      <c r="C41" s="15"/>
      <c r="D41" s="16"/>
      <c r="E41" s="16"/>
      <c r="F41" s="45">
        <f t="shared" si="14"/>
        <v>0</v>
      </c>
      <c r="G41" s="45">
        <f t="shared" si="15"/>
        <v>0</v>
      </c>
      <c r="H41" s="45">
        <f t="shared" si="16"/>
        <v>0</v>
      </c>
      <c r="I41" s="18"/>
      <c r="J41" s="70">
        <f t="shared" si="17"/>
        <v>0</v>
      </c>
      <c r="K41" s="45">
        <f t="shared" si="18"/>
        <v>0</v>
      </c>
      <c r="L41" s="17"/>
      <c r="M41" s="56">
        <f t="shared" si="19"/>
        <v>0</v>
      </c>
      <c r="N41" s="62">
        <f t="shared" si="20"/>
        <v>0</v>
      </c>
    </row>
    <row r="42" spans="1:14" ht="15" hidden="1" thickBot="1" x14ac:dyDescent="0.35">
      <c r="A42" s="36">
        <v>43040</v>
      </c>
      <c r="B42" s="15"/>
      <c r="C42" s="15"/>
      <c r="D42" s="16"/>
      <c r="E42" s="16"/>
      <c r="F42" s="45">
        <f t="shared" si="14"/>
        <v>0</v>
      </c>
      <c r="G42" s="45">
        <f t="shared" si="15"/>
        <v>0</v>
      </c>
      <c r="H42" s="45">
        <f t="shared" si="16"/>
        <v>0</v>
      </c>
      <c r="I42" s="18"/>
      <c r="J42" s="70">
        <f t="shared" si="17"/>
        <v>0</v>
      </c>
      <c r="K42" s="45">
        <f t="shared" si="18"/>
        <v>0</v>
      </c>
      <c r="L42" s="17"/>
      <c r="M42" s="56">
        <f t="shared" si="19"/>
        <v>0</v>
      </c>
      <c r="N42" s="62">
        <f t="shared" si="20"/>
        <v>0</v>
      </c>
    </row>
    <row r="43" spans="1:14" hidden="1" x14ac:dyDescent="0.3">
      <c r="A43" s="36">
        <v>43070</v>
      </c>
      <c r="B43" s="15"/>
      <c r="C43" s="15"/>
      <c r="D43" s="16"/>
      <c r="E43" s="16"/>
      <c r="F43" s="45">
        <f t="shared" si="14"/>
        <v>0</v>
      </c>
      <c r="G43" s="45">
        <f t="shared" si="15"/>
        <v>0</v>
      </c>
      <c r="H43" s="45">
        <f t="shared" si="16"/>
        <v>0</v>
      </c>
      <c r="I43" s="18"/>
      <c r="J43" s="70">
        <f t="shared" si="17"/>
        <v>0</v>
      </c>
      <c r="K43" s="45">
        <f t="shared" si="18"/>
        <v>0</v>
      </c>
      <c r="L43" s="17"/>
      <c r="M43" s="56">
        <f t="shared" si="19"/>
        <v>0</v>
      </c>
      <c r="N43" s="62">
        <f t="shared" si="20"/>
        <v>0</v>
      </c>
    </row>
    <row r="44" spans="1:14" hidden="1" x14ac:dyDescent="0.3">
      <c r="A44" s="37" t="s">
        <v>15</v>
      </c>
      <c r="B44" s="19"/>
      <c r="C44" s="20"/>
      <c r="D44" s="20"/>
      <c r="E44" s="20"/>
      <c r="F44" s="46"/>
      <c r="G44" s="46"/>
      <c r="H44" s="46"/>
      <c r="I44" s="22"/>
      <c r="J44" s="71"/>
      <c r="K44" s="46"/>
      <c r="L44" s="21"/>
      <c r="M44" s="46"/>
      <c r="N44" s="62">
        <f>SUM(N32:N43)/12</f>
        <v>0</v>
      </c>
    </row>
    <row r="45" spans="1:14" ht="15" hidden="1" thickBot="1" x14ac:dyDescent="0.35">
      <c r="A45" s="38" t="s">
        <v>16</v>
      </c>
      <c r="B45" s="23"/>
      <c r="C45" s="24"/>
      <c r="D45" s="24"/>
      <c r="E45" s="24"/>
      <c r="F45" s="47"/>
      <c r="G45" s="47"/>
      <c r="H45" s="47"/>
      <c r="I45" s="26"/>
      <c r="J45" s="72"/>
      <c r="K45" s="47"/>
      <c r="L45" s="25"/>
      <c r="M45" s="47"/>
      <c r="N45" s="62">
        <f>N44/3</f>
        <v>0</v>
      </c>
    </row>
    <row r="46" spans="1:14" ht="15" hidden="1" thickBot="1" x14ac:dyDescent="0.35">
      <c r="A46" s="36">
        <v>43101</v>
      </c>
      <c r="B46" s="15"/>
      <c r="C46" s="15"/>
      <c r="D46" s="16"/>
      <c r="E46" s="16"/>
      <c r="F46" s="45">
        <f t="shared" ref="F46:F57" si="21">D46-E46</f>
        <v>0</v>
      </c>
      <c r="G46" s="45">
        <f t="shared" ref="G46:G57" si="22">F46</f>
        <v>0</v>
      </c>
      <c r="H46" s="45">
        <f t="shared" ref="H46:H57" si="23">F46+G46</f>
        <v>0</v>
      </c>
      <c r="I46" s="18"/>
      <c r="J46" s="70">
        <f t="shared" ref="J46:J57" si="24">I46*5%</f>
        <v>0</v>
      </c>
      <c r="K46" s="45">
        <f t="shared" ref="K46:K57" si="25">H46*J46</f>
        <v>0</v>
      </c>
      <c r="L46" s="17"/>
      <c r="M46" s="56">
        <f t="shared" ref="M46:M57" si="26">IF(L46="Sim",(H46+K46)/6,IF(L46="Não",0,0))</f>
        <v>0</v>
      </c>
      <c r="N46" s="62">
        <f t="shared" ref="N46:N57" si="27">H46+K46+M46</f>
        <v>0</v>
      </c>
    </row>
    <row r="47" spans="1:14" ht="15" hidden="1" thickBot="1" x14ac:dyDescent="0.35">
      <c r="A47" s="36">
        <v>43132</v>
      </c>
      <c r="B47" s="15"/>
      <c r="C47" s="15"/>
      <c r="D47" s="16"/>
      <c r="E47" s="16"/>
      <c r="F47" s="45">
        <f t="shared" si="21"/>
        <v>0</v>
      </c>
      <c r="G47" s="45">
        <f t="shared" si="22"/>
        <v>0</v>
      </c>
      <c r="H47" s="45">
        <f t="shared" si="23"/>
        <v>0</v>
      </c>
      <c r="I47" s="18"/>
      <c r="J47" s="70">
        <f t="shared" si="24"/>
        <v>0</v>
      </c>
      <c r="K47" s="45">
        <f t="shared" si="25"/>
        <v>0</v>
      </c>
      <c r="L47" s="17"/>
      <c r="M47" s="56">
        <f t="shared" si="26"/>
        <v>0</v>
      </c>
      <c r="N47" s="62">
        <f t="shared" si="27"/>
        <v>0</v>
      </c>
    </row>
    <row r="48" spans="1:14" ht="15" hidden="1" thickBot="1" x14ac:dyDescent="0.35">
      <c r="A48" s="36">
        <v>43160</v>
      </c>
      <c r="B48" s="15"/>
      <c r="C48" s="15"/>
      <c r="D48" s="16"/>
      <c r="E48" s="16"/>
      <c r="F48" s="45">
        <f t="shared" si="21"/>
        <v>0</v>
      </c>
      <c r="G48" s="45">
        <f t="shared" si="22"/>
        <v>0</v>
      </c>
      <c r="H48" s="45">
        <f t="shared" si="23"/>
        <v>0</v>
      </c>
      <c r="I48" s="18"/>
      <c r="J48" s="70">
        <f t="shared" si="24"/>
        <v>0</v>
      </c>
      <c r="K48" s="45">
        <f t="shared" si="25"/>
        <v>0</v>
      </c>
      <c r="L48" s="17"/>
      <c r="M48" s="56">
        <f t="shared" si="26"/>
        <v>0</v>
      </c>
      <c r="N48" s="62">
        <f t="shared" si="27"/>
        <v>0</v>
      </c>
    </row>
    <row r="49" spans="1:14" ht="15" hidden="1" thickBot="1" x14ac:dyDescent="0.35">
      <c r="A49" s="36">
        <v>43191</v>
      </c>
      <c r="B49" s="15"/>
      <c r="C49" s="15"/>
      <c r="D49" s="16"/>
      <c r="E49" s="16"/>
      <c r="F49" s="45">
        <f t="shared" si="21"/>
        <v>0</v>
      </c>
      <c r="G49" s="45">
        <f t="shared" si="22"/>
        <v>0</v>
      </c>
      <c r="H49" s="45">
        <f t="shared" si="23"/>
        <v>0</v>
      </c>
      <c r="I49" s="18"/>
      <c r="J49" s="70">
        <f t="shared" si="24"/>
        <v>0</v>
      </c>
      <c r="K49" s="45">
        <f t="shared" si="25"/>
        <v>0</v>
      </c>
      <c r="L49" s="17"/>
      <c r="M49" s="56">
        <f t="shared" si="26"/>
        <v>0</v>
      </c>
      <c r="N49" s="62">
        <f t="shared" si="27"/>
        <v>0</v>
      </c>
    </row>
    <row r="50" spans="1:14" ht="15" hidden="1" thickBot="1" x14ac:dyDescent="0.35">
      <c r="A50" s="36">
        <v>43221</v>
      </c>
      <c r="B50" s="15"/>
      <c r="C50" s="15"/>
      <c r="D50" s="16"/>
      <c r="E50" s="16"/>
      <c r="F50" s="45">
        <f t="shared" si="21"/>
        <v>0</v>
      </c>
      <c r="G50" s="45">
        <f t="shared" si="22"/>
        <v>0</v>
      </c>
      <c r="H50" s="45">
        <f t="shared" si="23"/>
        <v>0</v>
      </c>
      <c r="I50" s="18"/>
      <c r="J50" s="70">
        <f t="shared" si="24"/>
        <v>0</v>
      </c>
      <c r="K50" s="45">
        <f t="shared" si="25"/>
        <v>0</v>
      </c>
      <c r="L50" s="17"/>
      <c r="M50" s="56">
        <f t="shared" si="26"/>
        <v>0</v>
      </c>
      <c r="N50" s="62">
        <f t="shared" si="27"/>
        <v>0</v>
      </c>
    </row>
    <row r="51" spans="1:14" ht="15" hidden="1" thickBot="1" x14ac:dyDescent="0.35">
      <c r="A51" s="36">
        <v>43252</v>
      </c>
      <c r="B51" s="15"/>
      <c r="C51" s="15"/>
      <c r="D51" s="16"/>
      <c r="E51" s="16"/>
      <c r="F51" s="45">
        <f t="shared" si="21"/>
        <v>0</v>
      </c>
      <c r="G51" s="45">
        <f t="shared" si="22"/>
        <v>0</v>
      </c>
      <c r="H51" s="45">
        <f t="shared" si="23"/>
        <v>0</v>
      </c>
      <c r="I51" s="18"/>
      <c r="J51" s="70">
        <f t="shared" si="24"/>
        <v>0</v>
      </c>
      <c r="K51" s="45">
        <f t="shared" si="25"/>
        <v>0</v>
      </c>
      <c r="L51" s="17"/>
      <c r="M51" s="56">
        <f t="shared" si="26"/>
        <v>0</v>
      </c>
      <c r="N51" s="62">
        <f t="shared" si="27"/>
        <v>0</v>
      </c>
    </row>
    <row r="52" spans="1:14" ht="15" hidden="1" thickBot="1" x14ac:dyDescent="0.35">
      <c r="A52" s="36">
        <v>43282</v>
      </c>
      <c r="B52" s="15"/>
      <c r="C52" s="15"/>
      <c r="D52" s="16"/>
      <c r="E52" s="16"/>
      <c r="F52" s="45">
        <f t="shared" si="21"/>
        <v>0</v>
      </c>
      <c r="G52" s="45">
        <f t="shared" si="22"/>
        <v>0</v>
      </c>
      <c r="H52" s="45">
        <f t="shared" si="23"/>
        <v>0</v>
      </c>
      <c r="I52" s="18"/>
      <c r="J52" s="70">
        <f t="shared" si="24"/>
        <v>0</v>
      </c>
      <c r="K52" s="45">
        <f t="shared" si="25"/>
        <v>0</v>
      </c>
      <c r="L52" s="17"/>
      <c r="M52" s="56">
        <f t="shared" si="26"/>
        <v>0</v>
      </c>
      <c r="N52" s="62">
        <f t="shared" si="27"/>
        <v>0</v>
      </c>
    </row>
    <row r="53" spans="1:14" ht="15" hidden="1" thickBot="1" x14ac:dyDescent="0.35">
      <c r="A53" s="36">
        <v>43313</v>
      </c>
      <c r="B53" s="15"/>
      <c r="C53" s="15"/>
      <c r="D53" s="16"/>
      <c r="E53" s="16"/>
      <c r="F53" s="45">
        <f t="shared" si="21"/>
        <v>0</v>
      </c>
      <c r="G53" s="45">
        <f t="shared" si="22"/>
        <v>0</v>
      </c>
      <c r="H53" s="45">
        <f t="shared" si="23"/>
        <v>0</v>
      </c>
      <c r="I53" s="18"/>
      <c r="J53" s="70">
        <f t="shared" si="24"/>
        <v>0</v>
      </c>
      <c r="K53" s="45">
        <f t="shared" si="25"/>
        <v>0</v>
      </c>
      <c r="L53" s="17"/>
      <c r="M53" s="56">
        <f t="shared" si="26"/>
        <v>0</v>
      </c>
      <c r="N53" s="62">
        <f t="shared" si="27"/>
        <v>0</v>
      </c>
    </row>
    <row r="54" spans="1:14" ht="15" hidden="1" thickBot="1" x14ac:dyDescent="0.35">
      <c r="A54" s="36">
        <v>43344</v>
      </c>
      <c r="B54" s="15"/>
      <c r="C54" s="15"/>
      <c r="D54" s="16"/>
      <c r="E54" s="16"/>
      <c r="F54" s="45">
        <f t="shared" si="21"/>
        <v>0</v>
      </c>
      <c r="G54" s="45">
        <f t="shared" si="22"/>
        <v>0</v>
      </c>
      <c r="H54" s="45">
        <f t="shared" si="23"/>
        <v>0</v>
      </c>
      <c r="I54" s="18"/>
      <c r="J54" s="70">
        <f t="shared" si="24"/>
        <v>0</v>
      </c>
      <c r="K54" s="45">
        <f t="shared" si="25"/>
        <v>0</v>
      </c>
      <c r="L54" s="17"/>
      <c r="M54" s="56">
        <f t="shared" si="26"/>
        <v>0</v>
      </c>
      <c r="N54" s="62">
        <f t="shared" si="27"/>
        <v>0</v>
      </c>
    </row>
    <row r="55" spans="1:14" ht="15" hidden="1" thickBot="1" x14ac:dyDescent="0.35">
      <c r="A55" s="36">
        <v>43374</v>
      </c>
      <c r="B55" s="15"/>
      <c r="C55" s="15"/>
      <c r="D55" s="16"/>
      <c r="E55" s="16"/>
      <c r="F55" s="45">
        <f t="shared" si="21"/>
        <v>0</v>
      </c>
      <c r="G55" s="45">
        <f t="shared" si="22"/>
        <v>0</v>
      </c>
      <c r="H55" s="45">
        <f t="shared" si="23"/>
        <v>0</v>
      </c>
      <c r="I55" s="18"/>
      <c r="J55" s="70">
        <f t="shared" si="24"/>
        <v>0</v>
      </c>
      <c r="K55" s="45">
        <f t="shared" si="25"/>
        <v>0</v>
      </c>
      <c r="L55" s="17"/>
      <c r="M55" s="56">
        <f t="shared" si="26"/>
        <v>0</v>
      </c>
      <c r="N55" s="62">
        <f t="shared" si="27"/>
        <v>0</v>
      </c>
    </row>
    <row r="56" spans="1:14" ht="15" hidden="1" thickBot="1" x14ac:dyDescent="0.35">
      <c r="A56" s="36">
        <v>43405</v>
      </c>
      <c r="B56" s="15"/>
      <c r="C56" s="15"/>
      <c r="D56" s="16"/>
      <c r="E56" s="16"/>
      <c r="F56" s="45">
        <f t="shared" si="21"/>
        <v>0</v>
      </c>
      <c r="G56" s="45">
        <f t="shared" si="22"/>
        <v>0</v>
      </c>
      <c r="H56" s="45">
        <f t="shared" si="23"/>
        <v>0</v>
      </c>
      <c r="I56" s="18"/>
      <c r="J56" s="70">
        <f t="shared" si="24"/>
        <v>0</v>
      </c>
      <c r="K56" s="45">
        <f t="shared" si="25"/>
        <v>0</v>
      </c>
      <c r="L56" s="17"/>
      <c r="M56" s="56">
        <f t="shared" si="26"/>
        <v>0</v>
      </c>
      <c r="N56" s="62">
        <f t="shared" si="27"/>
        <v>0</v>
      </c>
    </row>
    <row r="57" spans="1:14" hidden="1" x14ac:dyDescent="0.3">
      <c r="A57" s="36">
        <v>43435</v>
      </c>
      <c r="B57" s="15"/>
      <c r="C57" s="15"/>
      <c r="D57" s="16"/>
      <c r="E57" s="16"/>
      <c r="F57" s="45">
        <f t="shared" si="21"/>
        <v>0</v>
      </c>
      <c r="G57" s="45">
        <f t="shared" si="22"/>
        <v>0</v>
      </c>
      <c r="H57" s="45">
        <f t="shared" si="23"/>
        <v>0</v>
      </c>
      <c r="I57" s="18"/>
      <c r="J57" s="70">
        <f t="shared" si="24"/>
        <v>0</v>
      </c>
      <c r="K57" s="45">
        <f t="shared" si="25"/>
        <v>0</v>
      </c>
      <c r="L57" s="17"/>
      <c r="M57" s="56">
        <f t="shared" si="26"/>
        <v>0</v>
      </c>
      <c r="N57" s="62">
        <f t="shared" si="27"/>
        <v>0</v>
      </c>
    </row>
    <row r="58" spans="1:14" hidden="1" x14ac:dyDescent="0.3">
      <c r="A58" s="37" t="s">
        <v>15</v>
      </c>
      <c r="B58" s="19"/>
      <c r="C58" s="20"/>
      <c r="D58" s="20"/>
      <c r="E58" s="20"/>
      <c r="F58" s="46"/>
      <c r="G58" s="46"/>
      <c r="H58" s="46"/>
      <c r="I58" s="22"/>
      <c r="J58" s="71"/>
      <c r="K58" s="46"/>
      <c r="L58" s="21"/>
      <c r="M58" s="46"/>
      <c r="N58" s="62">
        <f>SUM(N46:N57)/12</f>
        <v>0</v>
      </c>
    </row>
    <row r="59" spans="1:14" ht="15" hidden="1" thickBot="1" x14ac:dyDescent="0.35">
      <c r="A59" s="38" t="s">
        <v>16</v>
      </c>
      <c r="B59" s="23"/>
      <c r="C59" s="24"/>
      <c r="D59" s="24"/>
      <c r="E59" s="24"/>
      <c r="F59" s="47"/>
      <c r="G59" s="47"/>
      <c r="H59" s="47"/>
      <c r="I59" s="26"/>
      <c r="J59" s="72"/>
      <c r="K59" s="47"/>
      <c r="L59" s="25"/>
      <c r="M59" s="47"/>
      <c r="N59" s="62">
        <f>N58/3</f>
        <v>0</v>
      </c>
    </row>
    <row r="60" spans="1:14" hidden="1" x14ac:dyDescent="0.3">
      <c r="A60" s="36">
        <v>43466</v>
      </c>
      <c r="B60" s="15"/>
      <c r="C60" s="15"/>
      <c r="D60" s="16"/>
      <c r="E60" s="16"/>
      <c r="F60" s="45">
        <f t="shared" ref="F60:F71" si="28">D60-E60</f>
        <v>0</v>
      </c>
      <c r="G60" s="45">
        <f t="shared" ref="G60:G71" si="29">F60</f>
        <v>0</v>
      </c>
      <c r="H60" s="45">
        <f t="shared" ref="H60:H71" si="30">F60+G60</f>
        <v>0</v>
      </c>
      <c r="I60" s="18"/>
      <c r="J60" s="70">
        <f t="shared" ref="J60:J71" si="31">I60*5%</f>
        <v>0</v>
      </c>
      <c r="K60" s="45">
        <f t="shared" ref="K60:K71" si="32">H60*J60</f>
        <v>0</v>
      </c>
      <c r="L60" s="17"/>
      <c r="M60" s="56">
        <f t="shared" ref="M60:M71" si="33">IF(L60="Sim",(H60+K60)/6,IF(L60="Não",0,0))</f>
        <v>0</v>
      </c>
      <c r="N60" s="62">
        <f t="shared" ref="N60:N71" si="34">H60+K60+M60</f>
        <v>0</v>
      </c>
    </row>
    <row r="61" spans="1:14" hidden="1" x14ac:dyDescent="0.3">
      <c r="A61" s="39">
        <v>43497</v>
      </c>
      <c r="B61" s="15"/>
      <c r="C61" s="15"/>
      <c r="D61" s="16"/>
      <c r="E61" s="16"/>
      <c r="F61" s="45">
        <f t="shared" si="28"/>
        <v>0</v>
      </c>
      <c r="G61" s="45">
        <f t="shared" si="29"/>
        <v>0</v>
      </c>
      <c r="H61" s="45">
        <f t="shared" si="30"/>
        <v>0</v>
      </c>
      <c r="I61" s="18"/>
      <c r="J61" s="70">
        <f t="shared" si="31"/>
        <v>0</v>
      </c>
      <c r="K61" s="45">
        <f t="shared" si="32"/>
        <v>0</v>
      </c>
      <c r="L61" s="17"/>
      <c r="M61" s="56">
        <f t="shared" si="33"/>
        <v>0</v>
      </c>
      <c r="N61" s="62">
        <f t="shared" si="34"/>
        <v>0</v>
      </c>
    </row>
    <row r="62" spans="1:14" hidden="1" x14ac:dyDescent="0.3">
      <c r="A62" s="39">
        <v>43525</v>
      </c>
      <c r="B62" s="15"/>
      <c r="C62" s="15"/>
      <c r="D62" s="16"/>
      <c r="E62" s="16"/>
      <c r="F62" s="45">
        <f t="shared" si="28"/>
        <v>0</v>
      </c>
      <c r="G62" s="45">
        <f t="shared" si="29"/>
        <v>0</v>
      </c>
      <c r="H62" s="45">
        <f t="shared" si="30"/>
        <v>0</v>
      </c>
      <c r="I62" s="18"/>
      <c r="J62" s="70">
        <f t="shared" si="31"/>
        <v>0</v>
      </c>
      <c r="K62" s="45">
        <f t="shared" si="32"/>
        <v>0</v>
      </c>
      <c r="L62" s="17"/>
      <c r="M62" s="56">
        <f t="shared" si="33"/>
        <v>0</v>
      </c>
      <c r="N62" s="62">
        <f t="shared" si="34"/>
        <v>0</v>
      </c>
    </row>
    <row r="63" spans="1:14" hidden="1" x14ac:dyDescent="0.3">
      <c r="A63" s="39">
        <v>43556</v>
      </c>
      <c r="B63" s="15"/>
      <c r="C63" s="15"/>
      <c r="D63" s="16"/>
      <c r="E63" s="16"/>
      <c r="F63" s="45">
        <f t="shared" si="28"/>
        <v>0</v>
      </c>
      <c r="G63" s="45">
        <f t="shared" si="29"/>
        <v>0</v>
      </c>
      <c r="H63" s="45">
        <f t="shared" si="30"/>
        <v>0</v>
      </c>
      <c r="I63" s="18"/>
      <c r="J63" s="70">
        <f t="shared" si="31"/>
        <v>0</v>
      </c>
      <c r="K63" s="45">
        <f t="shared" si="32"/>
        <v>0</v>
      </c>
      <c r="L63" s="17"/>
      <c r="M63" s="56">
        <f t="shared" si="33"/>
        <v>0</v>
      </c>
      <c r="N63" s="62">
        <f t="shared" si="34"/>
        <v>0</v>
      </c>
    </row>
    <row r="64" spans="1:14" hidden="1" x14ac:dyDescent="0.3">
      <c r="A64" s="39">
        <v>43586</v>
      </c>
      <c r="B64" s="15"/>
      <c r="C64" s="15"/>
      <c r="D64" s="16"/>
      <c r="E64" s="16"/>
      <c r="F64" s="45">
        <f t="shared" si="28"/>
        <v>0</v>
      </c>
      <c r="G64" s="45">
        <f t="shared" si="29"/>
        <v>0</v>
      </c>
      <c r="H64" s="45">
        <f t="shared" si="30"/>
        <v>0</v>
      </c>
      <c r="I64" s="18"/>
      <c r="J64" s="70">
        <f t="shared" si="31"/>
        <v>0</v>
      </c>
      <c r="K64" s="45">
        <f t="shared" si="32"/>
        <v>0</v>
      </c>
      <c r="L64" s="17"/>
      <c r="M64" s="56">
        <f t="shared" si="33"/>
        <v>0</v>
      </c>
      <c r="N64" s="62">
        <f t="shared" si="34"/>
        <v>0</v>
      </c>
    </row>
    <row r="65" spans="1:14" hidden="1" x14ac:dyDescent="0.3">
      <c r="A65" s="39">
        <v>43617</v>
      </c>
      <c r="B65" s="15"/>
      <c r="C65" s="15"/>
      <c r="D65" s="16"/>
      <c r="E65" s="16"/>
      <c r="F65" s="45">
        <f t="shared" si="28"/>
        <v>0</v>
      </c>
      <c r="G65" s="45">
        <f t="shared" si="29"/>
        <v>0</v>
      </c>
      <c r="H65" s="45">
        <f t="shared" si="30"/>
        <v>0</v>
      </c>
      <c r="I65" s="18"/>
      <c r="J65" s="70">
        <f t="shared" si="31"/>
        <v>0</v>
      </c>
      <c r="K65" s="45">
        <f t="shared" si="32"/>
        <v>0</v>
      </c>
      <c r="L65" s="17"/>
      <c r="M65" s="56">
        <f t="shared" si="33"/>
        <v>0</v>
      </c>
      <c r="N65" s="62">
        <f t="shared" si="34"/>
        <v>0</v>
      </c>
    </row>
    <row r="66" spans="1:14" hidden="1" x14ac:dyDescent="0.3">
      <c r="A66" s="39">
        <v>43647</v>
      </c>
      <c r="B66" s="15"/>
      <c r="C66" s="15"/>
      <c r="D66" s="16"/>
      <c r="E66" s="16"/>
      <c r="F66" s="45">
        <f t="shared" si="28"/>
        <v>0</v>
      </c>
      <c r="G66" s="45">
        <f t="shared" si="29"/>
        <v>0</v>
      </c>
      <c r="H66" s="45">
        <f t="shared" si="30"/>
        <v>0</v>
      </c>
      <c r="I66" s="18"/>
      <c r="J66" s="70">
        <f t="shared" si="31"/>
        <v>0</v>
      </c>
      <c r="K66" s="45">
        <f t="shared" si="32"/>
        <v>0</v>
      </c>
      <c r="L66" s="17"/>
      <c r="M66" s="56">
        <f t="shared" si="33"/>
        <v>0</v>
      </c>
      <c r="N66" s="62">
        <f t="shared" si="34"/>
        <v>0</v>
      </c>
    </row>
    <row r="67" spans="1:14" hidden="1" x14ac:dyDescent="0.3">
      <c r="A67" s="39">
        <v>43678</v>
      </c>
      <c r="B67" s="15"/>
      <c r="C67" s="15"/>
      <c r="D67" s="16"/>
      <c r="E67" s="16"/>
      <c r="F67" s="45">
        <f t="shared" si="28"/>
        <v>0</v>
      </c>
      <c r="G67" s="45">
        <f t="shared" si="29"/>
        <v>0</v>
      </c>
      <c r="H67" s="45">
        <f t="shared" si="30"/>
        <v>0</v>
      </c>
      <c r="I67" s="18"/>
      <c r="J67" s="70">
        <f t="shared" si="31"/>
        <v>0</v>
      </c>
      <c r="K67" s="45">
        <f t="shared" si="32"/>
        <v>0</v>
      </c>
      <c r="L67" s="17"/>
      <c r="M67" s="56">
        <f t="shared" si="33"/>
        <v>0</v>
      </c>
      <c r="N67" s="62">
        <f t="shared" si="34"/>
        <v>0</v>
      </c>
    </row>
    <row r="68" spans="1:14" hidden="1" x14ac:dyDescent="0.3">
      <c r="A68" s="39">
        <v>43709</v>
      </c>
      <c r="B68" s="15"/>
      <c r="C68" s="15"/>
      <c r="D68" s="16"/>
      <c r="E68" s="16"/>
      <c r="F68" s="45">
        <f t="shared" si="28"/>
        <v>0</v>
      </c>
      <c r="G68" s="45">
        <f t="shared" si="29"/>
        <v>0</v>
      </c>
      <c r="H68" s="45">
        <f t="shared" si="30"/>
        <v>0</v>
      </c>
      <c r="I68" s="18"/>
      <c r="J68" s="70">
        <f t="shared" si="31"/>
        <v>0</v>
      </c>
      <c r="K68" s="45">
        <f t="shared" si="32"/>
        <v>0</v>
      </c>
      <c r="L68" s="17"/>
      <c r="M68" s="56">
        <f t="shared" si="33"/>
        <v>0</v>
      </c>
      <c r="N68" s="62">
        <f t="shared" si="34"/>
        <v>0</v>
      </c>
    </row>
    <row r="69" spans="1:14" hidden="1" x14ac:dyDescent="0.3">
      <c r="A69" s="39">
        <v>43739</v>
      </c>
      <c r="B69" s="15"/>
      <c r="C69" s="15"/>
      <c r="D69" s="16"/>
      <c r="E69" s="16"/>
      <c r="F69" s="45">
        <f t="shared" si="28"/>
        <v>0</v>
      </c>
      <c r="G69" s="45">
        <f t="shared" si="29"/>
        <v>0</v>
      </c>
      <c r="H69" s="45">
        <f t="shared" si="30"/>
        <v>0</v>
      </c>
      <c r="I69" s="18"/>
      <c r="J69" s="70">
        <f t="shared" si="31"/>
        <v>0</v>
      </c>
      <c r="K69" s="45">
        <f t="shared" si="32"/>
        <v>0</v>
      </c>
      <c r="L69" s="17"/>
      <c r="M69" s="56">
        <f t="shared" si="33"/>
        <v>0</v>
      </c>
      <c r="N69" s="62">
        <f t="shared" si="34"/>
        <v>0</v>
      </c>
    </row>
    <row r="70" spans="1:14" hidden="1" x14ac:dyDescent="0.3">
      <c r="A70" s="39">
        <v>43770</v>
      </c>
      <c r="B70" s="15"/>
      <c r="C70" s="15"/>
      <c r="D70" s="16"/>
      <c r="E70" s="16"/>
      <c r="F70" s="45">
        <f t="shared" si="28"/>
        <v>0</v>
      </c>
      <c r="G70" s="45">
        <f t="shared" si="29"/>
        <v>0</v>
      </c>
      <c r="H70" s="45">
        <f t="shared" si="30"/>
        <v>0</v>
      </c>
      <c r="I70" s="18"/>
      <c r="J70" s="70">
        <f t="shared" si="31"/>
        <v>0</v>
      </c>
      <c r="K70" s="45">
        <f t="shared" si="32"/>
        <v>0</v>
      </c>
      <c r="L70" s="17"/>
      <c r="M70" s="56">
        <f t="shared" si="33"/>
        <v>0</v>
      </c>
      <c r="N70" s="62">
        <f t="shared" si="34"/>
        <v>0</v>
      </c>
    </row>
    <row r="71" spans="1:14" hidden="1" x14ac:dyDescent="0.3">
      <c r="A71" s="39">
        <v>43800</v>
      </c>
      <c r="B71" s="15"/>
      <c r="C71" s="15"/>
      <c r="D71" s="16"/>
      <c r="E71" s="16"/>
      <c r="F71" s="45">
        <f t="shared" si="28"/>
        <v>0</v>
      </c>
      <c r="G71" s="45">
        <f t="shared" si="29"/>
        <v>0</v>
      </c>
      <c r="H71" s="45">
        <f t="shared" si="30"/>
        <v>0</v>
      </c>
      <c r="I71" s="18"/>
      <c r="J71" s="70">
        <f t="shared" si="31"/>
        <v>0</v>
      </c>
      <c r="K71" s="45">
        <f t="shared" si="32"/>
        <v>0</v>
      </c>
      <c r="L71" s="17"/>
      <c r="M71" s="56">
        <f t="shared" si="33"/>
        <v>0</v>
      </c>
      <c r="N71" s="62">
        <f t="shared" si="34"/>
        <v>0</v>
      </c>
    </row>
    <row r="72" spans="1:14" hidden="1" x14ac:dyDescent="0.3">
      <c r="A72" s="37" t="s">
        <v>15</v>
      </c>
      <c r="B72" s="19"/>
      <c r="C72" s="20"/>
      <c r="D72" s="20"/>
      <c r="E72" s="20"/>
      <c r="F72" s="46"/>
      <c r="G72" s="46"/>
      <c r="H72" s="46"/>
      <c r="I72" s="22"/>
      <c r="J72" s="71"/>
      <c r="K72" s="46"/>
      <c r="L72" s="21"/>
      <c r="M72" s="46"/>
      <c r="N72" s="62">
        <f>SUM(N60:N71)/12</f>
        <v>0</v>
      </c>
    </row>
    <row r="73" spans="1:14" ht="15" hidden="1" thickBot="1" x14ac:dyDescent="0.35">
      <c r="A73" s="38" t="s">
        <v>16</v>
      </c>
      <c r="B73" s="23"/>
      <c r="C73" s="24"/>
      <c r="D73" s="24"/>
      <c r="E73" s="24"/>
      <c r="F73" s="47"/>
      <c r="G73" s="47"/>
      <c r="H73" s="47"/>
      <c r="I73" s="26"/>
      <c r="J73" s="72"/>
      <c r="K73" s="47"/>
      <c r="L73" s="25"/>
      <c r="M73" s="47"/>
      <c r="N73" s="62">
        <f>N72/3</f>
        <v>0</v>
      </c>
    </row>
    <row r="74" spans="1:14" hidden="1" x14ac:dyDescent="0.3">
      <c r="A74" s="36">
        <v>43831</v>
      </c>
      <c r="B74" s="15"/>
      <c r="C74" s="15"/>
      <c r="D74" s="16"/>
      <c r="E74" s="16"/>
      <c r="F74" s="45">
        <f t="shared" ref="F74:F85" si="35">D74-E74</f>
        <v>0</v>
      </c>
      <c r="G74" s="45">
        <f t="shared" ref="G74:G85" si="36">F74</f>
        <v>0</v>
      </c>
      <c r="H74" s="45">
        <f t="shared" ref="H74:H85" si="37">F74+G74</f>
        <v>0</v>
      </c>
      <c r="I74" s="18"/>
      <c r="J74" s="70">
        <f t="shared" ref="J74:J85" si="38">I74*5%</f>
        <v>0</v>
      </c>
      <c r="K74" s="45">
        <f t="shared" ref="K74:K85" si="39">H74*J74</f>
        <v>0</v>
      </c>
      <c r="L74" s="17"/>
      <c r="M74" s="56">
        <f t="shared" ref="M74:M85" si="40">IF(L74="Sim",(H74+K74)/6,IF(L74="Não",0,0))</f>
        <v>0</v>
      </c>
      <c r="N74" s="62">
        <f t="shared" ref="N74:N85" si="41">H74+K74+M74</f>
        <v>0</v>
      </c>
    </row>
    <row r="75" spans="1:14" hidden="1" x14ac:dyDescent="0.3">
      <c r="A75" s="39">
        <v>43862</v>
      </c>
      <c r="B75" s="15"/>
      <c r="C75" s="15"/>
      <c r="D75" s="16"/>
      <c r="E75" s="16"/>
      <c r="F75" s="45">
        <f t="shared" si="35"/>
        <v>0</v>
      </c>
      <c r="G75" s="45">
        <f t="shared" si="36"/>
        <v>0</v>
      </c>
      <c r="H75" s="45">
        <f t="shared" si="37"/>
        <v>0</v>
      </c>
      <c r="I75" s="18"/>
      <c r="J75" s="70">
        <f t="shared" si="38"/>
        <v>0</v>
      </c>
      <c r="K75" s="45">
        <f t="shared" si="39"/>
        <v>0</v>
      </c>
      <c r="L75" s="17"/>
      <c r="M75" s="56">
        <f t="shared" si="40"/>
        <v>0</v>
      </c>
      <c r="N75" s="62">
        <f t="shared" si="41"/>
        <v>0</v>
      </c>
    </row>
    <row r="76" spans="1:14" hidden="1" x14ac:dyDescent="0.3">
      <c r="A76" s="39">
        <v>43891</v>
      </c>
      <c r="B76" s="15"/>
      <c r="C76" s="15"/>
      <c r="D76" s="16"/>
      <c r="E76" s="16"/>
      <c r="F76" s="45">
        <f t="shared" si="35"/>
        <v>0</v>
      </c>
      <c r="G76" s="45">
        <f t="shared" si="36"/>
        <v>0</v>
      </c>
      <c r="H76" s="45">
        <f t="shared" si="37"/>
        <v>0</v>
      </c>
      <c r="I76" s="18"/>
      <c r="J76" s="70">
        <f t="shared" si="38"/>
        <v>0</v>
      </c>
      <c r="K76" s="45">
        <f t="shared" si="39"/>
        <v>0</v>
      </c>
      <c r="L76" s="17"/>
      <c r="M76" s="56">
        <f t="shared" si="40"/>
        <v>0</v>
      </c>
      <c r="N76" s="62">
        <f t="shared" si="41"/>
        <v>0</v>
      </c>
    </row>
    <row r="77" spans="1:14" hidden="1" x14ac:dyDescent="0.3">
      <c r="A77" s="39">
        <v>43922</v>
      </c>
      <c r="B77" s="15"/>
      <c r="C77" s="15"/>
      <c r="D77" s="16"/>
      <c r="E77" s="16"/>
      <c r="F77" s="45">
        <f t="shared" si="35"/>
        <v>0</v>
      </c>
      <c r="G77" s="45">
        <f t="shared" si="36"/>
        <v>0</v>
      </c>
      <c r="H77" s="45">
        <f t="shared" si="37"/>
        <v>0</v>
      </c>
      <c r="I77" s="18"/>
      <c r="J77" s="70">
        <f t="shared" si="38"/>
        <v>0</v>
      </c>
      <c r="K77" s="45">
        <f t="shared" si="39"/>
        <v>0</v>
      </c>
      <c r="L77" s="17"/>
      <c r="M77" s="56">
        <f t="shared" si="40"/>
        <v>0</v>
      </c>
      <c r="N77" s="62">
        <f t="shared" si="41"/>
        <v>0</v>
      </c>
    </row>
    <row r="78" spans="1:14" hidden="1" x14ac:dyDescent="0.3">
      <c r="A78" s="39">
        <v>43952</v>
      </c>
      <c r="B78" s="15"/>
      <c r="C78" s="15"/>
      <c r="D78" s="16"/>
      <c r="E78" s="16"/>
      <c r="F78" s="45">
        <f t="shared" si="35"/>
        <v>0</v>
      </c>
      <c r="G78" s="45">
        <f t="shared" si="36"/>
        <v>0</v>
      </c>
      <c r="H78" s="45">
        <f t="shared" si="37"/>
        <v>0</v>
      </c>
      <c r="I78" s="18"/>
      <c r="J78" s="70">
        <f t="shared" si="38"/>
        <v>0</v>
      </c>
      <c r="K78" s="45">
        <f t="shared" si="39"/>
        <v>0</v>
      </c>
      <c r="L78" s="17"/>
      <c r="M78" s="56">
        <f t="shared" si="40"/>
        <v>0</v>
      </c>
      <c r="N78" s="62">
        <f t="shared" si="41"/>
        <v>0</v>
      </c>
    </row>
    <row r="79" spans="1:14" hidden="1" x14ac:dyDescent="0.3">
      <c r="A79" s="39">
        <v>43983</v>
      </c>
      <c r="B79" s="15"/>
      <c r="C79" s="15"/>
      <c r="D79" s="16"/>
      <c r="E79" s="16"/>
      <c r="F79" s="45">
        <f t="shared" si="35"/>
        <v>0</v>
      </c>
      <c r="G79" s="45">
        <f t="shared" si="36"/>
        <v>0</v>
      </c>
      <c r="H79" s="45">
        <f t="shared" si="37"/>
        <v>0</v>
      </c>
      <c r="I79" s="18"/>
      <c r="J79" s="70">
        <f t="shared" si="38"/>
        <v>0</v>
      </c>
      <c r="K79" s="45">
        <f t="shared" si="39"/>
        <v>0</v>
      </c>
      <c r="L79" s="17"/>
      <c r="M79" s="56">
        <f t="shared" si="40"/>
        <v>0</v>
      </c>
      <c r="N79" s="62">
        <f t="shared" si="41"/>
        <v>0</v>
      </c>
    </row>
    <row r="80" spans="1:14" hidden="1" x14ac:dyDescent="0.3">
      <c r="A80" s="39">
        <v>44013</v>
      </c>
      <c r="B80" s="15"/>
      <c r="C80" s="15"/>
      <c r="D80" s="16"/>
      <c r="E80" s="16"/>
      <c r="F80" s="45">
        <f t="shared" si="35"/>
        <v>0</v>
      </c>
      <c r="G80" s="45">
        <f t="shared" si="36"/>
        <v>0</v>
      </c>
      <c r="H80" s="45">
        <f t="shared" si="37"/>
        <v>0</v>
      </c>
      <c r="I80" s="18"/>
      <c r="J80" s="70">
        <f t="shared" si="38"/>
        <v>0</v>
      </c>
      <c r="K80" s="45">
        <f t="shared" si="39"/>
        <v>0</v>
      </c>
      <c r="L80" s="17"/>
      <c r="M80" s="56">
        <f t="shared" si="40"/>
        <v>0</v>
      </c>
      <c r="N80" s="62">
        <f t="shared" si="41"/>
        <v>0</v>
      </c>
    </row>
    <row r="81" spans="1:14" hidden="1" x14ac:dyDescent="0.3">
      <c r="A81" s="39">
        <v>44044</v>
      </c>
      <c r="B81" s="15"/>
      <c r="C81" s="15"/>
      <c r="D81" s="16"/>
      <c r="E81" s="16"/>
      <c r="F81" s="45">
        <f t="shared" si="35"/>
        <v>0</v>
      </c>
      <c r="G81" s="45">
        <f t="shared" si="36"/>
        <v>0</v>
      </c>
      <c r="H81" s="45">
        <f t="shared" si="37"/>
        <v>0</v>
      </c>
      <c r="I81" s="18"/>
      <c r="J81" s="70">
        <f t="shared" si="38"/>
        <v>0</v>
      </c>
      <c r="K81" s="45">
        <f t="shared" si="39"/>
        <v>0</v>
      </c>
      <c r="L81" s="17"/>
      <c r="M81" s="56">
        <f t="shared" si="40"/>
        <v>0</v>
      </c>
      <c r="N81" s="62">
        <f t="shared" si="41"/>
        <v>0</v>
      </c>
    </row>
    <row r="82" spans="1:14" hidden="1" x14ac:dyDescent="0.3">
      <c r="A82" s="39">
        <v>44075</v>
      </c>
      <c r="B82" s="15"/>
      <c r="C82" s="15"/>
      <c r="D82" s="16"/>
      <c r="E82" s="16"/>
      <c r="F82" s="45">
        <f t="shared" si="35"/>
        <v>0</v>
      </c>
      <c r="G82" s="45">
        <f t="shared" si="36"/>
        <v>0</v>
      </c>
      <c r="H82" s="45">
        <f t="shared" si="37"/>
        <v>0</v>
      </c>
      <c r="I82" s="18"/>
      <c r="J82" s="70">
        <f t="shared" si="38"/>
        <v>0</v>
      </c>
      <c r="K82" s="45">
        <f t="shared" si="39"/>
        <v>0</v>
      </c>
      <c r="L82" s="17"/>
      <c r="M82" s="56">
        <f t="shared" si="40"/>
        <v>0</v>
      </c>
      <c r="N82" s="62">
        <f t="shared" si="41"/>
        <v>0</v>
      </c>
    </row>
    <row r="83" spans="1:14" hidden="1" x14ac:dyDescent="0.3">
      <c r="A83" s="39">
        <v>44105</v>
      </c>
      <c r="B83" s="15"/>
      <c r="C83" s="15"/>
      <c r="D83" s="16"/>
      <c r="E83" s="16"/>
      <c r="F83" s="45">
        <f t="shared" si="35"/>
        <v>0</v>
      </c>
      <c r="G83" s="45">
        <f t="shared" si="36"/>
        <v>0</v>
      </c>
      <c r="H83" s="45">
        <f t="shared" si="37"/>
        <v>0</v>
      </c>
      <c r="I83" s="18"/>
      <c r="J83" s="70">
        <f t="shared" si="38"/>
        <v>0</v>
      </c>
      <c r="K83" s="45">
        <f t="shared" si="39"/>
        <v>0</v>
      </c>
      <c r="L83" s="17"/>
      <c r="M83" s="56">
        <f t="shared" si="40"/>
        <v>0</v>
      </c>
      <c r="N83" s="62">
        <f t="shared" si="41"/>
        <v>0</v>
      </c>
    </row>
    <row r="84" spans="1:14" hidden="1" x14ac:dyDescent="0.3">
      <c r="A84" s="39">
        <v>44136</v>
      </c>
      <c r="B84" s="15"/>
      <c r="C84" s="15"/>
      <c r="D84" s="16"/>
      <c r="E84" s="16"/>
      <c r="F84" s="45">
        <f t="shared" si="35"/>
        <v>0</v>
      </c>
      <c r="G84" s="45">
        <f t="shared" si="36"/>
        <v>0</v>
      </c>
      <c r="H84" s="45">
        <f t="shared" si="37"/>
        <v>0</v>
      </c>
      <c r="I84" s="18"/>
      <c r="J84" s="70">
        <f t="shared" si="38"/>
        <v>0</v>
      </c>
      <c r="K84" s="45">
        <f t="shared" si="39"/>
        <v>0</v>
      </c>
      <c r="L84" s="17"/>
      <c r="M84" s="56">
        <f t="shared" si="40"/>
        <v>0</v>
      </c>
      <c r="N84" s="62">
        <f t="shared" si="41"/>
        <v>0</v>
      </c>
    </row>
    <row r="85" spans="1:14" hidden="1" x14ac:dyDescent="0.3">
      <c r="A85" s="39">
        <v>44166</v>
      </c>
      <c r="B85" s="15"/>
      <c r="C85" s="15"/>
      <c r="D85" s="16"/>
      <c r="E85" s="16"/>
      <c r="F85" s="45">
        <f t="shared" si="35"/>
        <v>0</v>
      </c>
      <c r="G85" s="45">
        <f t="shared" si="36"/>
        <v>0</v>
      </c>
      <c r="H85" s="45">
        <f t="shared" si="37"/>
        <v>0</v>
      </c>
      <c r="I85" s="18"/>
      <c r="J85" s="70">
        <f t="shared" si="38"/>
        <v>0</v>
      </c>
      <c r="K85" s="45">
        <f t="shared" si="39"/>
        <v>0</v>
      </c>
      <c r="L85" s="17"/>
      <c r="M85" s="56">
        <f t="shared" si="40"/>
        <v>0</v>
      </c>
      <c r="N85" s="62">
        <f t="shared" si="41"/>
        <v>0</v>
      </c>
    </row>
    <row r="86" spans="1:14" hidden="1" x14ac:dyDescent="0.3">
      <c r="A86" s="37" t="s">
        <v>15</v>
      </c>
      <c r="B86" s="19"/>
      <c r="C86" s="20"/>
      <c r="D86" s="20"/>
      <c r="E86" s="20"/>
      <c r="F86" s="46"/>
      <c r="G86" s="46"/>
      <c r="H86" s="46"/>
      <c r="I86" s="22"/>
      <c r="J86" s="71"/>
      <c r="K86" s="46"/>
      <c r="L86" s="21"/>
      <c r="M86" s="46"/>
      <c r="N86" s="62">
        <f>SUM(N74:N85)/12</f>
        <v>0</v>
      </c>
    </row>
    <row r="87" spans="1:14" ht="15" hidden="1" thickBot="1" x14ac:dyDescent="0.35">
      <c r="A87" s="38" t="s">
        <v>16</v>
      </c>
      <c r="B87" s="23"/>
      <c r="C87" s="24"/>
      <c r="D87" s="24"/>
      <c r="E87" s="24"/>
      <c r="F87" s="47"/>
      <c r="G87" s="47"/>
      <c r="H87" s="47"/>
      <c r="I87" s="26"/>
      <c r="J87" s="72"/>
      <c r="K87" s="47"/>
      <c r="L87" s="25"/>
      <c r="M87" s="47"/>
      <c r="N87" s="62">
        <f>N86/3</f>
        <v>0</v>
      </c>
    </row>
    <row r="88" spans="1:14" hidden="1" x14ac:dyDescent="0.3">
      <c r="A88" s="36">
        <v>44197</v>
      </c>
      <c r="B88" s="15"/>
      <c r="C88" s="15"/>
      <c r="D88" s="16"/>
      <c r="E88" s="16"/>
      <c r="F88" s="45">
        <f t="shared" ref="F88:F99" si="42">D88-E88</f>
        <v>0</v>
      </c>
      <c r="G88" s="45">
        <f t="shared" ref="G88:G99" si="43">F88</f>
        <v>0</v>
      </c>
      <c r="H88" s="45">
        <f t="shared" ref="H88:H99" si="44">F88+G88</f>
        <v>0</v>
      </c>
      <c r="I88" s="18"/>
      <c r="J88" s="70">
        <f t="shared" ref="J88:J99" si="45">I88*5%</f>
        <v>0</v>
      </c>
      <c r="K88" s="45">
        <f t="shared" ref="K88:K99" si="46">H88*J88</f>
        <v>0</v>
      </c>
      <c r="L88" s="17"/>
      <c r="M88" s="56">
        <f t="shared" ref="M88:M99" si="47">IF(L88="Sim",(H88+K88)/6,IF(L88="Não",0,0))</f>
        <v>0</v>
      </c>
      <c r="N88" s="62">
        <f t="shared" ref="N88:N99" si="48">H88+K88+M88</f>
        <v>0</v>
      </c>
    </row>
    <row r="89" spans="1:14" hidden="1" x14ac:dyDescent="0.3">
      <c r="A89" s="39">
        <v>44228</v>
      </c>
      <c r="B89" s="15"/>
      <c r="C89" s="15"/>
      <c r="D89" s="16"/>
      <c r="E89" s="16"/>
      <c r="F89" s="45">
        <f t="shared" si="42"/>
        <v>0</v>
      </c>
      <c r="G89" s="45">
        <f t="shared" si="43"/>
        <v>0</v>
      </c>
      <c r="H89" s="45">
        <f t="shared" si="44"/>
        <v>0</v>
      </c>
      <c r="I89" s="18"/>
      <c r="J89" s="70">
        <f t="shared" si="45"/>
        <v>0</v>
      </c>
      <c r="K89" s="45">
        <f t="shared" si="46"/>
        <v>0</v>
      </c>
      <c r="L89" s="17"/>
      <c r="M89" s="56">
        <f t="shared" si="47"/>
        <v>0</v>
      </c>
      <c r="N89" s="62">
        <f t="shared" si="48"/>
        <v>0</v>
      </c>
    </row>
    <row r="90" spans="1:14" hidden="1" x14ac:dyDescent="0.3">
      <c r="A90" s="39">
        <v>44256</v>
      </c>
      <c r="B90" s="15"/>
      <c r="C90" s="15"/>
      <c r="D90" s="16"/>
      <c r="E90" s="16"/>
      <c r="F90" s="45">
        <f t="shared" si="42"/>
        <v>0</v>
      </c>
      <c r="G90" s="45">
        <f t="shared" si="43"/>
        <v>0</v>
      </c>
      <c r="H90" s="45">
        <f t="shared" si="44"/>
        <v>0</v>
      </c>
      <c r="I90" s="18"/>
      <c r="J90" s="70">
        <f t="shared" si="45"/>
        <v>0</v>
      </c>
      <c r="K90" s="45">
        <f t="shared" si="46"/>
        <v>0</v>
      </c>
      <c r="L90" s="17"/>
      <c r="M90" s="56">
        <f t="shared" si="47"/>
        <v>0</v>
      </c>
      <c r="N90" s="62">
        <f t="shared" si="48"/>
        <v>0</v>
      </c>
    </row>
    <row r="91" spans="1:14" hidden="1" x14ac:dyDescent="0.3">
      <c r="A91" s="39">
        <v>44287</v>
      </c>
      <c r="B91" s="15"/>
      <c r="C91" s="15"/>
      <c r="D91" s="16"/>
      <c r="E91" s="16"/>
      <c r="F91" s="45">
        <f t="shared" si="42"/>
        <v>0</v>
      </c>
      <c r="G91" s="45">
        <f t="shared" si="43"/>
        <v>0</v>
      </c>
      <c r="H91" s="45">
        <f t="shared" si="44"/>
        <v>0</v>
      </c>
      <c r="I91" s="18"/>
      <c r="J91" s="70">
        <f t="shared" si="45"/>
        <v>0</v>
      </c>
      <c r="K91" s="45">
        <f t="shared" si="46"/>
        <v>0</v>
      </c>
      <c r="L91" s="17"/>
      <c r="M91" s="56">
        <f t="shared" si="47"/>
        <v>0</v>
      </c>
      <c r="N91" s="62">
        <f t="shared" si="48"/>
        <v>0</v>
      </c>
    </row>
    <row r="92" spans="1:14" hidden="1" x14ac:dyDescent="0.3">
      <c r="A92" s="39">
        <v>44317</v>
      </c>
      <c r="B92" s="15"/>
      <c r="C92" s="15"/>
      <c r="D92" s="16"/>
      <c r="E92" s="16"/>
      <c r="F92" s="45">
        <f t="shared" si="42"/>
        <v>0</v>
      </c>
      <c r="G92" s="45">
        <f t="shared" si="43"/>
        <v>0</v>
      </c>
      <c r="H92" s="45">
        <f t="shared" si="44"/>
        <v>0</v>
      </c>
      <c r="I92" s="18"/>
      <c r="J92" s="70">
        <f t="shared" si="45"/>
        <v>0</v>
      </c>
      <c r="K92" s="45">
        <f t="shared" si="46"/>
        <v>0</v>
      </c>
      <c r="L92" s="17"/>
      <c r="M92" s="56">
        <f t="shared" si="47"/>
        <v>0</v>
      </c>
      <c r="N92" s="62">
        <f t="shared" si="48"/>
        <v>0</v>
      </c>
    </row>
    <row r="93" spans="1:14" hidden="1" x14ac:dyDescent="0.3">
      <c r="A93" s="39">
        <v>44348</v>
      </c>
      <c r="B93" s="15"/>
      <c r="C93" s="15"/>
      <c r="D93" s="16"/>
      <c r="E93" s="16"/>
      <c r="F93" s="45">
        <f t="shared" si="42"/>
        <v>0</v>
      </c>
      <c r="G93" s="45">
        <f t="shared" si="43"/>
        <v>0</v>
      </c>
      <c r="H93" s="45">
        <f t="shared" si="44"/>
        <v>0</v>
      </c>
      <c r="I93" s="18"/>
      <c r="J93" s="70">
        <f t="shared" si="45"/>
        <v>0</v>
      </c>
      <c r="K93" s="45">
        <f t="shared" si="46"/>
        <v>0</v>
      </c>
      <c r="L93" s="17"/>
      <c r="M93" s="56">
        <f t="shared" si="47"/>
        <v>0</v>
      </c>
      <c r="N93" s="62">
        <f t="shared" si="48"/>
        <v>0</v>
      </c>
    </row>
    <row r="94" spans="1:14" hidden="1" x14ac:dyDescent="0.3">
      <c r="A94" s="39">
        <v>44378</v>
      </c>
      <c r="B94" s="15"/>
      <c r="C94" s="15"/>
      <c r="D94" s="16"/>
      <c r="E94" s="16"/>
      <c r="F94" s="45">
        <f t="shared" si="42"/>
        <v>0</v>
      </c>
      <c r="G94" s="45">
        <f t="shared" si="43"/>
        <v>0</v>
      </c>
      <c r="H94" s="45">
        <f t="shared" si="44"/>
        <v>0</v>
      </c>
      <c r="I94" s="18"/>
      <c r="J94" s="70">
        <f t="shared" si="45"/>
        <v>0</v>
      </c>
      <c r="K94" s="45">
        <f t="shared" si="46"/>
        <v>0</v>
      </c>
      <c r="L94" s="17"/>
      <c r="M94" s="56">
        <f t="shared" si="47"/>
        <v>0</v>
      </c>
      <c r="N94" s="62">
        <f t="shared" si="48"/>
        <v>0</v>
      </c>
    </row>
    <row r="95" spans="1:14" hidden="1" x14ac:dyDescent="0.3">
      <c r="A95" s="39">
        <v>44409</v>
      </c>
      <c r="B95" s="15"/>
      <c r="C95" s="15"/>
      <c r="D95" s="16"/>
      <c r="E95" s="16"/>
      <c r="F95" s="45">
        <f t="shared" si="42"/>
        <v>0</v>
      </c>
      <c r="G95" s="45">
        <f t="shared" si="43"/>
        <v>0</v>
      </c>
      <c r="H95" s="45">
        <f t="shared" si="44"/>
        <v>0</v>
      </c>
      <c r="I95" s="18"/>
      <c r="J95" s="70">
        <f t="shared" si="45"/>
        <v>0</v>
      </c>
      <c r="K95" s="45">
        <f t="shared" si="46"/>
        <v>0</v>
      </c>
      <c r="L95" s="17"/>
      <c r="M95" s="56">
        <f t="shared" si="47"/>
        <v>0</v>
      </c>
      <c r="N95" s="62">
        <f t="shared" si="48"/>
        <v>0</v>
      </c>
    </row>
    <row r="96" spans="1:14" hidden="1" x14ac:dyDescent="0.3">
      <c r="A96" s="39">
        <v>44440</v>
      </c>
      <c r="B96" s="15"/>
      <c r="C96" s="15"/>
      <c r="D96" s="16"/>
      <c r="E96" s="16"/>
      <c r="F96" s="45">
        <f t="shared" si="42"/>
        <v>0</v>
      </c>
      <c r="G96" s="45">
        <f t="shared" si="43"/>
        <v>0</v>
      </c>
      <c r="H96" s="45">
        <f t="shared" si="44"/>
        <v>0</v>
      </c>
      <c r="I96" s="18"/>
      <c r="J96" s="70">
        <f t="shared" si="45"/>
        <v>0</v>
      </c>
      <c r="K96" s="45">
        <f t="shared" si="46"/>
        <v>0</v>
      </c>
      <c r="L96" s="17"/>
      <c r="M96" s="56">
        <f t="shared" si="47"/>
        <v>0</v>
      </c>
      <c r="N96" s="62">
        <f t="shared" si="48"/>
        <v>0</v>
      </c>
    </row>
    <row r="97" spans="1:14" hidden="1" x14ac:dyDescent="0.3">
      <c r="A97" s="39">
        <v>44470</v>
      </c>
      <c r="B97" s="15"/>
      <c r="C97" s="15"/>
      <c r="D97" s="16"/>
      <c r="E97" s="16"/>
      <c r="F97" s="45">
        <f t="shared" si="42"/>
        <v>0</v>
      </c>
      <c r="G97" s="45">
        <f t="shared" si="43"/>
        <v>0</v>
      </c>
      <c r="H97" s="45">
        <f t="shared" si="44"/>
        <v>0</v>
      </c>
      <c r="I97" s="18"/>
      <c r="J97" s="70">
        <f t="shared" si="45"/>
        <v>0</v>
      </c>
      <c r="K97" s="45">
        <f t="shared" si="46"/>
        <v>0</v>
      </c>
      <c r="L97" s="17"/>
      <c r="M97" s="56">
        <f t="shared" si="47"/>
        <v>0</v>
      </c>
      <c r="N97" s="62">
        <f t="shared" si="48"/>
        <v>0</v>
      </c>
    </row>
    <row r="98" spans="1:14" hidden="1" x14ac:dyDescent="0.3">
      <c r="A98" s="39">
        <v>44501</v>
      </c>
      <c r="B98" s="15"/>
      <c r="C98" s="15"/>
      <c r="D98" s="16"/>
      <c r="E98" s="16"/>
      <c r="F98" s="45">
        <f t="shared" si="42"/>
        <v>0</v>
      </c>
      <c r="G98" s="45">
        <f t="shared" si="43"/>
        <v>0</v>
      </c>
      <c r="H98" s="45">
        <f t="shared" si="44"/>
        <v>0</v>
      </c>
      <c r="I98" s="18"/>
      <c r="J98" s="70">
        <f t="shared" si="45"/>
        <v>0</v>
      </c>
      <c r="K98" s="45">
        <f t="shared" si="46"/>
        <v>0</v>
      </c>
      <c r="L98" s="17"/>
      <c r="M98" s="56">
        <f t="shared" si="47"/>
        <v>0</v>
      </c>
      <c r="N98" s="62">
        <f t="shared" si="48"/>
        <v>0</v>
      </c>
    </row>
    <row r="99" spans="1:14" hidden="1" x14ac:dyDescent="0.3">
      <c r="A99" s="39">
        <v>44531</v>
      </c>
      <c r="B99" s="15"/>
      <c r="C99" s="15"/>
      <c r="D99" s="16"/>
      <c r="E99" s="16"/>
      <c r="F99" s="45">
        <f t="shared" si="42"/>
        <v>0</v>
      </c>
      <c r="G99" s="45">
        <f t="shared" si="43"/>
        <v>0</v>
      </c>
      <c r="H99" s="45">
        <f t="shared" si="44"/>
        <v>0</v>
      </c>
      <c r="I99" s="18"/>
      <c r="J99" s="70">
        <f t="shared" si="45"/>
        <v>0</v>
      </c>
      <c r="K99" s="45">
        <f t="shared" si="46"/>
        <v>0</v>
      </c>
      <c r="L99" s="17"/>
      <c r="M99" s="57">
        <f t="shared" si="47"/>
        <v>0</v>
      </c>
      <c r="N99" s="62">
        <f t="shared" si="48"/>
        <v>0</v>
      </c>
    </row>
    <row r="100" spans="1:14" hidden="1" x14ac:dyDescent="0.3">
      <c r="A100" s="37" t="s">
        <v>15</v>
      </c>
      <c r="B100" s="19"/>
      <c r="C100" s="20"/>
      <c r="D100" s="20"/>
      <c r="E100" s="20"/>
      <c r="F100" s="46"/>
      <c r="G100" s="46"/>
      <c r="H100" s="46"/>
      <c r="I100" s="22"/>
      <c r="J100" s="71"/>
      <c r="K100" s="46"/>
      <c r="L100" s="21"/>
      <c r="M100" s="46"/>
      <c r="N100" s="62">
        <f>SUM(N88:N99)/12</f>
        <v>0</v>
      </c>
    </row>
    <row r="101" spans="1:14" ht="15" hidden="1" thickBot="1" x14ac:dyDescent="0.35">
      <c r="A101" s="38" t="s">
        <v>16</v>
      </c>
      <c r="B101" s="23"/>
      <c r="C101" s="24"/>
      <c r="D101" s="24"/>
      <c r="E101" s="24"/>
      <c r="F101" s="47"/>
      <c r="G101" s="47"/>
      <c r="H101" s="47"/>
      <c r="I101" s="26"/>
      <c r="J101" s="72"/>
      <c r="K101" s="47"/>
      <c r="L101" s="25"/>
      <c r="M101" s="47"/>
      <c r="N101" s="62">
        <f>N100/3</f>
        <v>0</v>
      </c>
    </row>
    <row r="102" spans="1:14" hidden="1" x14ac:dyDescent="0.3">
      <c r="A102" s="36">
        <v>44562</v>
      </c>
      <c r="B102" s="15"/>
      <c r="C102" s="15"/>
      <c r="D102" s="16"/>
      <c r="E102" s="16"/>
      <c r="F102" s="45">
        <f t="shared" ref="F102:F113" si="49">D102-E102</f>
        <v>0</v>
      </c>
      <c r="G102" s="45">
        <f t="shared" ref="G102:G113" si="50">F102</f>
        <v>0</v>
      </c>
      <c r="H102" s="45">
        <f t="shared" ref="H102:H113" si="51">F102+G102</f>
        <v>0</v>
      </c>
      <c r="I102" s="18"/>
      <c r="J102" s="70">
        <f t="shared" ref="J102:J113" si="52">I102*5%</f>
        <v>0</v>
      </c>
      <c r="K102" s="45">
        <f t="shared" ref="K102:K113" si="53">H102*J102</f>
        <v>0</v>
      </c>
      <c r="L102" s="17"/>
      <c r="M102" s="56">
        <f t="shared" ref="M102:M113" si="54">IF(L102="Sim",(H102+K102)/6,IF(L102="Não",0,0))</f>
        <v>0</v>
      </c>
      <c r="N102" s="62">
        <f t="shared" ref="N102:N113" si="55">H102+K102+M102</f>
        <v>0</v>
      </c>
    </row>
    <row r="103" spans="1:14" hidden="1" x14ac:dyDescent="0.3">
      <c r="A103" s="39">
        <v>44593</v>
      </c>
      <c r="B103" s="15"/>
      <c r="C103" s="15"/>
      <c r="D103" s="16"/>
      <c r="E103" s="16"/>
      <c r="F103" s="45">
        <f t="shared" si="49"/>
        <v>0</v>
      </c>
      <c r="G103" s="45">
        <f t="shared" si="50"/>
        <v>0</v>
      </c>
      <c r="H103" s="45">
        <f t="shared" si="51"/>
        <v>0</v>
      </c>
      <c r="I103" s="18"/>
      <c r="J103" s="70">
        <f t="shared" si="52"/>
        <v>0</v>
      </c>
      <c r="K103" s="45">
        <f t="shared" si="53"/>
        <v>0</v>
      </c>
      <c r="L103" s="17"/>
      <c r="M103" s="56">
        <f t="shared" si="54"/>
        <v>0</v>
      </c>
      <c r="N103" s="62">
        <f t="shared" si="55"/>
        <v>0</v>
      </c>
    </row>
    <row r="104" spans="1:14" hidden="1" x14ac:dyDescent="0.3">
      <c r="A104" s="39">
        <v>44621</v>
      </c>
      <c r="B104" s="15"/>
      <c r="C104" s="15"/>
      <c r="D104" s="16"/>
      <c r="E104" s="16"/>
      <c r="F104" s="45">
        <f t="shared" si="49"/>
        <v>0</v>
      </c>
      <c r="G104" s="45">
        <f t="shared" si="50"/>
        <v>0</v>
      </c>
      <c r="H104" s="45">
        <f t="shared" si="51"/>
        <v>0</v>
      </c>
      <c r="I104" s="18"/>
      <c r="J104" s="70">
        <f t="shared" si="52"/>
        <v>0</v>
      </c>
      <c r="K104" s="45">
        <f t="shared" si="53"/>
        <v>0</v>
      </c>
      <c r="L104" s="17"/>
      <c r="M104" s="56">
        <f t="shared" si="54"/>
        <v>0</v>
      </c>
      <c r="N104" s="62">
        <f t="shared" si="55"/>
        <v>0</v>
      </c>
    </row>
    <row r="105" spans="1:14" hidden="1" x14ac:dyDescent="0.3">
      <c r="A105" s="39">
        <v>44652</v>
      </c>
      <c r="B105" s="15"/>
      <c r="C105" s="15"/>
      <c r="D105" s="16"/>
      <c r="E105" s="16"/>
      <c r="F105" s="45">
        <f t="shared" si="49"/>
        <v>0</v>
      </c>
      <c r="G105" s="45">
        <f t="shared" si="50"/>
        <v>0</v>
      </c>
      <c r="H105" s="45">
        <f t="shared" si="51"/>
        <v>0</v>
      </c>
      <c r="I105" s="18"/>
      <c r="J105" s="70">
        <f t="shared" si="52"/>
        <v>0</v>
      </c>
      <c r="K105" s="45">
        <f t="shared" si="53"/>
        <v>0</v>
      </c>
      <c r="L105" s="17"/>
      <c r="M105" s="56">
        <f t="shared" si="54"/>
        <v>0</v>
      </c>
      <c r="N105" s="62">
        <f t="shared" si="55"/>
        <v>0</v>
      </c>
    </row>
    <row r="106" spans="1:14" hidden="1" x14ac:dyDescent="0.3">
      <c r="A106" s="39">
        <v>44682</v>
      </c>
      <c r="B106" s="15"/>
      <c r="C106" s="15"/>
      <c r="D106" s="16"/>
      <c r="E106" s="16"/>
      <c r="F106" s="45">
        <f t="shared" si="49"/>
        <v>0</v>
      </c>
      <c r="G106" s="45">
        <f t="shared" si="50"/>
        <v>0</v>
      </c>
      <c r="H106" s="45">
        <f t="shared" si="51"/>
        <v>0</v>
      </c>
      <c r="I106" s="18"/>
      <c r="J106" s="70">
        <f t="shared" si="52"/>
        <v>0</v>
      </c>
      <c r="K106" s="45">
        <f t="shared" si="53"/>
        <v>0</v>
      </c>
      <c r="L106" s="17"/>
      <c r="M106" s="56">
        <f t="shared" si="54"/>
        <v>0</v>
      </c>
      <c r="N106" s="62">
        <f t="shared" si="55"/>
        <v>0</v>
      </c>
    </row>
    <row r="107" spans="1:14" hidden="1" x14ac:dyDescent="0.3">
      <c r="A107" s="39">
        <v>44713</v>
      </c>
      <c r="B107" s="15"/>
      <c r="C107" s="15"/>
      <c r="D107" s="16"/>
      <c r="E107" s="16"/>
      <c r="F107" s="45">
        <f t="shared" si="49"/>
        <v>0</v>
      </c>
      <c r="G107" s="45">
        <f t="shared" si="50"/>
        <v>0</v>
      </c>
      <c r="H107" s="45">
        <f t="shared" si="51"/>
        <v>0</v>
      </c>
      <c r="I107" s="18"/>
      <c r="J107" s="70">
        <f t="shared" si="52"/>
        <v>0</v>
      </c>
      <c r="K107" s="45">
        <f t="shared" si="53"/>
        <v>0</v>
      </c>
      <c r="L107" s="17"/>
      <c r="M107" s="56">
        <f t="shared" si="54"/>
        <v>0</v>
      </c>
      <c r="N107" s="62">
        <f t="shared" si="55"/>
        <v>0</v>
      </c>
    </row>
    <row r="108" spans="1:14" hidden="1" x14ac:dyDescent="0.3">
      <c r="A108" s="39">
        <v>44743</v>
      </c>
      <c r="B108" s="15"/>
      <c r="C108" s="15"/>
      <c r="D108" s="16"/>
      <c r="E108" s="16"/>
      <c r="F108" s="45">
        <f t="shared" si="49"/>
        <v>0</v>
      </c>
      <c r="G108" s="45">
        <f t="shared" si="50"/>
        <v>0</v>
      </c>
      <c r="H108" s="45">
        <f t="shared" si="51"/>
        <v>0</v>
      </c>
      <c r="I108" s="18"/>
      <c r="J108" s="70">
        <f t="shared" si="52"/>
        <v>0</v>
      </c>
      <c r="K108" s="45">
        <f t="shared" si="53"/>
        <v>0</v>
      </c>
      <c r="L108" s="17"/>
      <c r="M108" s="56">
        <f t="shared" si="54"/>
        <v>0</v>
      </c>
      <c r="N108" s="62">
        <f t="shared" si="55"/>
        <v>0</v>
      </c>
    </row>
    <row r="109" spans="1:14" hidden="1" x14ac:dyDescent="0.3">
      <c r="A109" s="39">
        <v>44774</v>
      </c>
      <c r="B109" s="15"/>
      <c r="C109" s="15"/>
      <c r="D109" s="16"/>
      <c r="E109" s="16"/>
      <c r="F109" s="45">
        <f t="shared" si="49"/>
        <v>0</v>
      </c>
      <c r="G109" s="45">
        <f t="shared" si="50"/>
        <v>0</v>
      </c>
      <c r="H109" s="45">
        <f t="shared" si="51"/>
        <v>0</v>
      </c>
      <c r="I109" s="18"/>
      <c r="J109" s="70">
        <f t="shared" si="52"/>
        <v>0</v>
      </c>
      <c r="K109" s="45">
        <f t="shared" si="53"/>
        <v>0</v>
      </c>
      <c r="L109" s="17"/>
      <c r="M109" s="56">
        <f t="shared" si="54"/>
        <v>0</v>
      </c>
      <c r="N109" s="62">
        <f t="shared" si="55"/>
        <v>0</v>
      </c>
    </row>
    <row r="110" spans="1:14" hidden="1" x14ac:dyDescent="0.3">
      <c r="A110" s="39">
        <v>44805</v>
      </c>
      <c r="B110" s="15"/>
      <c r="C110" s="15"/>
      <c r="D110" s="16"/>
      <c r="E110" s="16"/>
      <c r="F110" s="45">
        <f t="shared" si="49"/>
        <v>0</v>
      </c>
      <c r="G110" s="45">
        <f t="shared" si="50"/>
        <v>0</v>
      </c>
      <c r="H110" s="45">
        <f t="shared" si="51"/>
        <v>0</v>
      </c>
      <c r="I110" s="18"/>
      <c r="J110" s="70">
        <f t="shared" si="52"/>
        <v>0</v>
      </c>
      <c r="K110" s="45">
        <f t="shared" si="53"/>
        <v>0</v>
      </c>
      <c r="L110" s="17"/>
      <c r="M110" s="56">
        <f t="shared" si="54"/>
        <v>0</v>
      </c>
      <c r="N110" s="62">
        <f t="shared" si="55"/>
        <v>0</v>
      </c>
    </row>
    <row r="111" spans="1:14" hidden="1" x14ac:dyDescent="0.3">
      <c r="A111" s="39">
        <v>44835</v>
      </c>
      <c r="B111" s="15"/>
      <c r="C111" s="15"/>
      <c r="D111" s="16"/>
      <c r="E111" s="16"/>
      <c r="F111" s="45">
        <f t="shared" si="49"/>
        <v>0</v>
      </c>
      <c r="G111" s="45">
        <f t="shared" si="50"/>
        <v>0</v>
      </c>
      <c r="H111" s="45">
        <f t="shared" si="51"/>
        <v>0</v>
      </c>
      <c r="I111" s="18"/>
      <c r="J111" s="70">
        <f t="shared" si="52"/>
        <v>0</v>
      </c>
      <c r="K111" s="45">
        <f t="shared" si="53"/>
        <v>0</v>
      </c>
      <c r="L111" s="17"/>
      <c r="M111" s="56">
        <f t="shared" si="54"/>
        <v>0</v>
      </c>
      <c r="N111" s="62">
        <f t="shared" si="55"/>
        <v>0</v>
      </c>
    </row>
    <row r="112" spans="1:14" hidden="1" x14ac:dyDescent="0.3">
      <c r="A112" s="39">
        <v>44866</v>
      </c>
      <c r="B112" s="15"/>
      <c r="C112" s="15"/>
      <c r="D112" s="16"/>
      <c r="E112" s="16"/>
      <c r="F112" s="45">
        <f t="shared" si="49"/>
        <v>0</v>
      </c>
      <c r="G112" s="45">
        <f t="shared" si="50"/>
        <v>0</v>
      </c>
      <c r="H112" s="45">
        <f t="shared" si="51"/>
        <v>0</v>
      </c>
      <c r="I112" s="18"/>
      <c r="J112" s="70">
        <f t="shared" si="52"/>
        <v>0</v>
      </c>
      <c r="K112" s="45">
        <f t="shared" si="53"/>
        <v>0</v>
      </c>
      <c r="L112" s="17"/>
      <c r="M112" s="56">
        <f t="shared" si="54"/>
        <v>0</v>
      </c>
      <c r="N112" s="62">
        <f t="shared" si="55"/>
        <v>0</v>
      </c>
    </row>
    <row r="113" spans="1:14" hidden="1" x14ac:dyDescent="0.3">
      <c r="A113" s="39">
        <v>44896</v>
      </c>
      <c r="B113" s="15"/>
      <c r="C113" s="15"/>
      <c r="D113" s="16"/>
      <c r="E113" s="16"/>
      <c r="F113" s="45">
        <f t="shared" si="49"/>
        <v>0</v>
      </c>
      <c r="G113" s="45">
        <f t="shared" si="50"/>
        <v>0</v>
      </c>
      <c r="H113" s="45">
        <f t="shared" si="51"/>
        <v>0</v>
      </c>
      <c r="I113" s="18"/>
      <c r="J113" s="70">
        <f t="shared" si="52"/>
        <v>0</v>
      </c>
      <c r="K113" s="45">
        <f t="shared" si="53"/>
        <v>0</v>
      </c>
      <c r="L113" s="17"/>
      <c r="M113" s="56">
        <f t="shared" si="54"/>
        <v>0</v>
      </c>
      <c r="N113" s="62">
        <f t="shared" si="55"/>
        <v>0</v>
      </c>
    </row>
    <row r="114" spans="1:14" hidden="1" x14ac:dyDescent="0.3">
      <c r="A114" s="37" t="s">
        <v>15</v>
      </c>
      <c r="B114" s="19"/>
      <c r="C114" s="20"/>
      <c r="D114" s="20"/>
      <c r="E114" s="20"/>
      <c r="F114" s="46"/>
      <c r="G114" s="46"/>
      <c r="H114" s="46"/>
      <c r="I114" s="22"/>
      <c r="J114" s="71"/>
      <c r="K114" s="46"/>
      <c r="L114" s="21"/>
      <c r="M114" s="46"/>
      <c r="N114" s="62">
        <f>SUM(N102:N113)/12</f>
        <v>0</v>
      </c>
    </row>
    <row r="115" spans="1:14" ht="15" hidden="1" thickBot="1" x14ac:dyDescent="0.35">
      <c r="A115" s="38" t="s">
        <v>16</v>
      </c>
      <c r="B115" s="23"/>
      <c r="C115" s="24"/>
      <c r="D115" s="24"/>
      <c r="E115" s="24"/>
      <c r="F115" s="47"/>
      <c r="G115" s="47"/>
      <c r="H115" s="47"/>
      <c r="I115" s="26"/>
      <c r="J115" s="72"/>
      <c r="K115" s="47"/>
      <c r="L115" s="25"/>
      <c r="M115" s="47"/>
      <c r="N115" s="62">
        <f>N114/3</f>
        <v>0</v>
      </c>
    </row>
    <row r="116" spans="1:14" hidden="1" x14ac:dyDescent="0.3">
      <c r="A116" s="40">
        <v>44927</v>
      </c>
      <c r="B116" s="15"/>
      <c r="C116" s="15"/>
      <c r="D116" s="16"/>
      <c r="E116" s="16"/>
      <c r="F116" s="45">
        <f t="shared" ref="F116:F127" si="56">D116-E116</f>
        <v>0</v>
      </c>
      <c r="G116" s="45">
        <f t="shared" ref="G116:G127" si="57">F116</f>
        <v>0</v>
      </c>
      <c r="H116" s="45">
        <f t="shared" ref="H116:H127" si="58">F116+G116</f>
        <v>0</v>
      </c>
      <c r="I116" s="18"/>
      <c r="J116" s="70">
        <f t="shared" ref="J116:J127" si="59">I116*5%</f>
        <v>0</v>
      </c>
      <c r="K116" s="45">
        <f t="shared" ref="K116:K127" si="60">H116*J116</f>
        <v>0</v>
      </c>
      <c r="L116" s="17"/>
      <c r="M116" s="56">
        <f t="shared" ref="M116:M127" si="61">IF(L116="Sim",(H116+K116)/6,IF(L116="Não",0,0))</f>
        <v>0</v>
      </c>
      <c r="N116" s="62">
        <f t="shared" ref="N116:N127" si="62">H116+K116+M116</f>
        <v>0</v>
      </c>
    </row>
    <row r="117" spans="1:14" hidden="1" x14ac:dyDescent="0.3">
      <c r="A117" s="40">
        <v>44958</v>
      </c>
      <c r="B117" s="15"/>
      <c r="C117" s="15"/>
      <c r="D117" s="16"/>
      <c r="E117" s="16"/>
      <c r="F117" s="45">
        <f t="shared" si="56"/>
        <v>0</v>
      </c>
      <c r="G117" s="45">
        <f t="shared" si="57"/>
        <v>0</v>
      </c>
      <c r="H117" s="45">
        <f t="shared" si="58"/>
        <v>0</v>
      </c>
      <c r="I117" s="18"/>
      <c r="J117" s="70">
        <f t="shared" si="59"/>
        <v>0</v>
      </c>
      <c r="K117" s="45">
        <f t="shared" si="60"/>
        <v>0</v>
      </c>
      <c r="L117" s="17"/>
      <c r="M117" s="56">
        <f t="shared" si="61"/>
        <v>0</v>
      </c>
      <c r="N117" s="62">
        <f t="shared" si="62"/>
        <v>0</v>
      </c>
    </row>
    <row r="118" spans="1:14" hidden="1" x14ac:dyDescent="0.3">
      <c r="A118" s="40">
        <v>44986</v>
      </c>
      <c r="B118" s="15"/>
      <c r="C118" s="15"/>
      <c r="D118" s="16"/>
      <c r="E118" s="16"/>
      <c r="F118" s="45">
        <f t="shared" si="56"/>
        <v>0</v>
      </c>
      <c r="G118" s="45">
        <f t="shared" si="57"/>
        <v>0</v>
      </c>
      <c r="H118" s="45">
        <f t="shared" si="58"/>
        <v>0</v>
      </c>
      <c r="I118" s="18"/>
      <c r="J118" s="70">
        <f t="shared" si="59"/>
        <v>0</v>
      </c>
      <c r="K118" s="45">
        <f t="shared" si="60"/>
        <v>0</v>
      </c>
      <c r="L118" s="17"/>
      <c r="M118" s="56">
        <f t="shared" si="61"/>
        <v>0</v>
      </c>
      <c r="N118" s="62">
        <f t="shared" si="62"/>
        <v>0</v>
      </c>
    </row>
    <row r="119" spans="1:14" hidden="1" x14ac:dyDescent="0.3">
      <c r="A119" s="40">
        <v>45017</v>
      </c>
      <c r="B119" s="15"/>
      <c r="C119" s="15"/>
      <c r="D119" s="16"/>
      <c r="E119" s="16"/>
      <c r="F119" s="45">
        <f t="shared" si="56"/>
        <v>0</v>
      </c>
      <c r="G119" s="45">
        <f t="shared" si="57"/>
        <v>0</v>
      </c>
      <c r="H119" s="45">
        <f t="shared" si="58"/>
        <v>0</v>
      </c>
      <c r="I119" s="18"/>
      <c r="J119" s="70">
        <f t="shared" si="59"/>
        <v>0</v>
      </c>
      <c r="K119" s="45">
        <f t="shared" si="60"/>
        <v>0</v>
      </c>
      <c r="L119" s="17"/>
      <c r="M119" s="56">
        <f t="shared" si="61"/>
        <v>0</v>
      </c>
      <c r="N119" s="62">
        <f t="shared" si="62"/>
        <v>0</v>
      </c>
    </row>
    <row r="120" spans="1:14" hidden="1" x14ac:dyDescent="0.3">
      <c r="A120" s="40">
        <v>45047</v>
      </c>
      <c r="B120" s="15"/>
      <c r="C120" s="15"/>
      <c r="D120" s="16"/>
      <c r="E120" s="16"/>
      <c r="F120" s="45">
        <f t="shared" si="56"/>
        <v>0</v>
      </c>
      <c r="G120" s="45">
        <f t="shared" si="57"/>
        <v>0</v>
      </c>
      <c r="H120" s="45">
        <f t="shared" si="58"/>
        <v>0</v>
      </c>
      <c r="I120" s="18"/>
      <c r="J120" s="70">
        <f t="shared" si="59"/>
        <v>0</v>
      </c>
      <c r="K120" s="45">
        <f t="shared" si="60"/>
        <v>0</v>
      </c>
      <c r="L120" s="17"/>
      <c r="M120" s="56">
        <f t="shared" si="61"/>
        <v>0</v>
      </c>
      <c r="N120" s="62">
        <f t="shared" si="62"/>
        <v>0</v>
      </c>
    </row>
    <row r="121" spans="1:14" hidden="1" x14ac:dyDescent="0.3">
      <c r="A121" s="40">
        <v>45078</v>
      </c>
      <c r="B121" s="15"/>
      <c r="C121" s="15"/>
      <c r="D121" s="16"/>
      <c r="E121" s="16"/>
      <c r="F121" s="45">
        <f t="shared" si="56"/>
        <v>0</v>
      </c>
      <c r="G121" s="45">
        <f t="shared" si="57"/>
        <v>0</v>
      </c>
      <c r="H121" s="45">
        <f t="shared" si="58"/>
        <v>0</v>
      </c>
      <c r="I121" s="18"/>
      <c r="J121" s="70">
        <f t="shared" si="59"/>
        <v>0</v>
      </c>
      <c r="K121" s="45">
        <f t="shared" si="60"/>
        <v>0</v>
      </c>
      <c r="L121" s="17"/>
      <c r="M121" s="56">
        <f t="shared" si="61"/>
        <v>0</v>
      </c>
      <c r="N121" s="62">
        <f t="shared" si="62"/>
        <v>0</v>
      </c>
    </row>
    <row r="122" spans="1:14" hidden="1" x14ac:dyDescent="0.3">
      <c r="A122" s="40">
        <v>45108</v>
      </c>
      <c r="B122" s="15"/>
      <c r="C122" s="15"/>
      <c r="D122" s="16"/>
      <c r="E122" s="16"/>
      <c r="F122" s="45">
        <f t="shared" si="56"/>
        <v>0</v>
      </c>
      <c r="G122" s="45">
        <f t="shared" si="57"/>
        <v>0</v>
      </c>
      <c r="H122" s="45">
        <f t="shared" si="58"/>
        <v>0</v>
      </c>
      <c r="I122" s="18"/>
      <c r="J122" s="70">
        <f t="shared" si="59"/>
        <v>0</v>
      </c>
      <c r="K122" s="45">
        <f t="shared" si="60"/>
        <v>0</v>
      </c>
      <c r="L122" s="17"/>
      <c r="M122" s="56">
        <f t="shared" si="61"/>
        <v>0</v>
      </c>
      <c r="N122" s="62">
        <f t="shared" si="62"/>
        <v>0</v>
      </c>
    </row>
    <row r="123" spans="1:14" hidden="1" x14ac:dyDescent="0.3">
      <c r="A123" s="40">
        <v>45139</v>
      </c>
      <c r="B123" s="15"/>
      <c r="C123" s="15"/>
      <c r="D123" s="16"/>
      <c r="E123" s="16"/>
      <c r="F123" s="45">
        <f t="shared" si="56"/>
        <v>0</v>
      </c>
      <c r="G123" s="45">
        <f t="shared" si="57"/>
        <v>0</v>
      </c>
      <c r="H123" s="45">
        <f t="shared" si="58"/>
        <v>0</v>
      </c>
      <c r="I123" s="18"/>
      <c r="J123" s="70">
        <f t="shared" si="59"/>
        <v>0</v>
      </c>
      <c r="K123" s="45">
        <f t="shared" si="60"/>
        <v>0</v>
      </c>
      <c r="L123" s="17"/>
      <c r="M123" s="56">
        <f t="shared" si="61"/>
        <v>0</v>
      </c>
      <c r="N123" s="62">
        <f t="shared" si="62"/>
        <v>0</v>
      </c>
    </row>
    <row r="124" spans="1:14" hidden="1" x14ac:dyDescent="0.3">
      <c r="A124" s="40">
        <v>45170</v>
      </c>
      <c r="B124" s="15"/>
      <c r="C124" s="15"/>
      <c r="D124" s="16"/>
      <c r="E124" s="16"/>
      <c r="F124" s="45">
        <f t="shared" si="56"/>
        <v>0</v>
      </c>
      <c r="G124" s="45">
        <f t="shared" si="57"/>
        <v>0</v>
      </c>
      <c r="H124" s="45">
        <f t="shared" si="58"/>
        <v>0</v>
      </c>
      <c r="I124" s="18"/>
      <c r="J124" s="70">
        <f t="shared" si="59"/>
        <v>0</v>
      </c>
      <c r="K124" s="45">
        <f t="shared" si="60"/>
        <v>0</v>
      </c>
      <c r="L124" s="17"/>
      <c r="M124" s="56">
        <f t="shared" si="61"/>
        <v>0</v>
      </c>
      <c r="N124" s="62">
        <f t="shared" si="62"/>
        <v>0</v>
      </c>
    </row>
    <row r="125" spans="1:14" hidden="1" x14ac:dyDescent="0.3">
      <c r="A125" s="40">
        <v>45200</v>
      </c>
      <c r="B125" s="15"/>
      <c r="C125" s="15"/>
      <c r="D125" s="16"/>
      <c r="E125" s="16"/>
      <c r="F125" s="45">
        <f t="shared" si="56"/>
        <v>0</v>
      </c>
      <c r="G125" s="45">
        <f t="shared" si="57"/>
        <v>0</v>
      </c>
      <c r="H125" s="45">
        <f t="shared" si="58"/>
        <v>0</v>
      </c>
      <c r="I125" s="18"/>
      <c r="J125" s="70">
        <f t="shared" si="59"/>
        <v>0</v>
      </c>
      <c r="K125" s="45">
        <f t="shared" si="60"/>
        <v>0</v>
      </c>
      <c r="L125" s="17"/>
      <c r="M125" s="56">
        <f t="shared" si="61"/>
        <v>0</v>
      </c>
      <c r="N125" s="62">
        <f t="shared" si="62"/>
        <v>0</v>
      </c>
    </row>
    <row r="126" spans="1:14" hidden="1" x14ac:dyDescent="0.3">
      <c r="A126" s="40">
        <v>45231</v>
      </c>
      <c r="B126" s="15"/>
      <c r="C126" s="15"/>
      <c r="D126" s="16"/>
      <c r="E126" s="16"/>
      <c r="F126" s="45">
        <f t="shared" si="56"/>
        <v>0</v>
      </c>
      <c r="G126" s="45">
        <f t="shared" si="57"/>
        <v>0</v>
      </c>
      <c r="H126" s="45">
        <f t="shared" si="58"/>
        <v>0</v>
      </c>
      <c r="I126" s="18"/>
      <c r="J126" s="70">
        <f t="shared" si="59"/>
        <v>0</v>
      </c>
      <c r="K126" s="45">
        <f t="shared" si="60"/>
        <v>0</v>
      </c>
      <c r="L126" s="17"/>
      <c r="M126" s="56">
        <f t="shared" si="61"/>
        <v>0</v>
      </c>
      <c r="N126" s="62">
        <f t="shared" si="62"/>
        <v>0</v>
      </c>
    </row>
    <row r="127" spans="1:14" hidden="1" x14ac:dyDescent="0.3">
      <c r="A127" s="40">
        <v>45261</v>
      </c>
      <c r="B127" s="15"/>
      <c r="C127" s="15"/>
      <c r="D127" s="16"/>
      <c r="E127" s="16"/>
      <c r="F127" s="45">
        <f t="shared" si="56"/>
        <v>0</v>
      </c>
      <c r="G127" s="45">
        <f t="shared" si="57"/>
        <v>0</v>
      </c>
      <c r="H127" s="45">
        <f t="shared" si="58"/>
        <v>0</v>
      </c>
      <c r="I127" s="18"/>
      <c r="J127" s="70">
        <f t="shared" si="59"/>
        <v>0</v>
      </c>
      <c r="K127" s="45">
        <f t="shared" si="60"/>
        <v>0</v>
      </c>
      <c r="L127" s="17"/>
      <c r="M127" s="56">
        <f t="shared" si="61"/>
        <v>0</v>
      </c>
      <c r="N127" s="62">
        <f t="shared" si="62"/>
        <v>0</v>
      </c>
    </row>
    <row r="128" spans="1:14" hidden="1" x14ac:dyDescent="0.3">
      <c r="A128" s="37" t="s">
        <v>15</v>
      </c>
      <c r="B128" s="19"/>
      <c r="C128" s="20"/>
      <c r="D128" s="20"/>
      <c r="E128" s="20"/>
      <c r="F128" s="46"/>
      <c r="G128" s="46"/>
      <c r="H128" s="46"/>
      <c r="I128" s="22"/>
      <c r="J128" s="71"/>
      <c r="K128" s="46"/>
      <c r="L128" s="21"/>
      <c r="M128" s="46"/>
      <c r="N128" s="62">
        <f>SUM(N116:N127)/12</f>
        <v>0</v>
      </c>
    </row>
    <row r="129" spans="1:14" ht="15" hidden="1" thickBot="1" x14ac:dyDescent="0.35">
      <c r="A129" s="38" t="s">
        <v>16</v>
      </c>
      <c r="B129" s="23"/>
      <c r="C129" s="24"/>
      <c r="D129" s="24"/>
      <c r="E129" s="24"/>
      <c r="F129" s="47"/>
      <c r="G129" s="47"/>
      <c r="H129" s="47"/>
      <c r="I129" s="26"/>
      <c r="J129" s="72"/>
      <c r="K129" s="47"/>
      <c r="L129" s="25"/>
      <c r="M129" s="47"/>
      <c r="N129" s="63">
        <f>N128/3</f>
        <v>0</v>
      </c>
    </row>
    <row r="130" spans="1:14" ht="13.5" hidden="1" customHeight="1" x14ac:dyDescent="0.3">
      <c r="A130" s="40">
        <v>45292</v>
      </c>
      <c r="B130" s="15"/>
      <c r="C130" s="15"/>
      <c r="D130" s="16"/>
      <c r="E130" s="16"/>
      <c r="F130" s="45">
        <f t="shared" ref="F130:F141" si="63">D130-E130</f>
        <v>0</v>
      </c>
      <c r="G130" s="45">
        <f t="shared" ref="G130:G141" si="64">F130</f>
        <v>0</v>
      </c>
      <c r="H130" s="45">
        <f t="shared" ref="H130:H141" si="65">F130+G130</f>
        <v>0</v>
      </c>
      <c r="I130" s="18"/>
      <c r="J130" s="70">
        <f t="shared" ref="J130:J141" si="66">I130*5%</f>
        <v>0</v>
      </c>
      <c r="K130" s="45">
        <f t="shared" ref="K130:K141" si="67">H130*J130</f>
        <v>0</v>
      </c>
      <c r="L130" s="17"/>
      <c r="M130" s="56">
        <f t="shared" ref="M130:M141" si="68">IF(L130="Sim",(H130+K130)/6,IF(L130="Não",0,0))</f>
        <v>0</v>
      </c>
      <c r="N130" s="62">
        <f t="shared" ref="N130:N141" si="69">H130+K130+M130</f>
        <v>0</v>
      </c>
    </row>
    <row r="131" spans="1:14" ht="13.5" hidden="1" customHeight="1" x14ac:dyDescent="0.3">
      <c r="A131" s="40">
        <v>45323</v>
      </c>
      <c r="B131" s="15"/>
      <c r="C131" s="15"/>
      <c r="D131" s="16"/>
      <c r="E131" s="16"/>
      <c r="F131" s="45">
        <f t="shared" si="63"/>
        <v>0</v>
      </c>
      <c r="G131" s="45">
        <f t="shared" si="64"/>
        <v>0</v>
      </c>
      <c r="H131" s="45">
        <f t="shared" si="65"/>
        <v>0</v>
      </c>
      <c r="I131" s="18"/>
      <c r="J131" s="70">
        <f t="shared" si="66"/>
        <v>0</v>
      </c>
      <c r="K131" s="45">
        <f t="shared" si="67"/>
        <v>0</v>
      </c>
      <c r="L131" s="17"/>
      <c r="M131" s="56">
        <f t="shared" si="68"/>
        <v>0</v>
      </c>
      <c r="N131" s="62">
        <f t="shared" si="69"/>
        <v>0</v>
      </c>
    </row>
    <row r="132" spans="1:14" ht="13.5" hidden="1" customHeight="1" x14ac:dyDescent="0.3">
      <c r="A132" s="40">
        <v>45352</v>
      </c>
      <c r="B132" s="15"/>
      <c r="C132" s="15"/>
      <c r="D132" s="16"/>
      <c r="E132" s="16"/>
      <c r="F132" s="45">
        <f t="shared" si="63"/>
        <v>0</v>
      </c>
      <c r="G132" s="45">
        <f t="shared" si="64"/>
        <v>0</v>
      </c>
      <c r="H132" s="45">
        <f t="shared" si="65"/>
        <v>0</v>
      </c>
      <c r="I132" s="18"/>
      <c r="J132" s="70">
        <f t="shared" si="66"/>
        <v>0</v>
      </c>
      <c r="K132" s="45">
        <f t="shared" si="67"/>
        <v>0</v>
      </c>
      <c r="L132" s="17"/>
      <c r="M132" s="56">
        <f t="shared" si="68"/>
        <v>0</v>
      </c>
      <c r="N132" s="62">
        <f t="shared" si="69"/>
        <v>0</v>
      </c>
    </row>
    <row r="133" spans="1:14" ht="13.5" hidden="1" customHeight="1" x14ac:dyDescent="0.3">
      <c r="A133" s="40">
        <v>45383</v>
      </c>
      <c r="B133" s="15"/>
      <c r="C133" s="15"/>
      <c r="D133" s="16"/>
      <c r="E133" s="16"/>
      <c r="F133" s="45">
        <f t="shared" si="63"/>
        <v>0</v>
      </c>
      <c r="G133" s="45">
        <f t="shared" si="64"/>
        <v>0</v>
      </c>
      <c r="H133" s="45">
        <f t="shared" si="65"/>
        <v>0</v>
      </c>
      <c r="I133" s="18"/>
      <c r="J133" s="70">
        <f t="shared" si="66"/>
        <v>0</v>
      </c>
      <c r="K133" s="45">
        <f t="shared" si="67"/>
        <v>0</v>
      </c>
      <c r="L133" s="17"/>
      <c r="M133" s="56">
        <f t="shared" si="68"/>
        <v>0</v>
      </c>
      <c r="N133" s="62">
        <f t="shared" si="69"/>
        <v>0</v>
      </c>
    </row>
    <row r="134" spans="1:14" ht="13.5" hidden="1" customHeight="1" x14ac:dyDescent="0.3">
      <c r="A134" s="40">
        <v>45413</v>
      </c>
      <c r="B134" s="15"/>
      <c r="C134" s="15"/>
      <c r="D134" s="16"/>
      <c r="E134" s="16"/>
      <c r="F134" s="45">
        <f t="shared" si="63"/>
        <v>0</v>
      </c>
      <c r="G134" s="45">
        <f t="shared" si="64"/>
        <v>0</v>
      </c>
      <c r="H134" s="45">
        <f t="shared" si="65"/>
        <v>0</v>
      </c>
      <c r="I134" s="18"/>
      <c r="J134" s="70">
        <f t="shared" si="66"/>
        <v>0</v>
      </c>
      <c r="K134" s="45">
        <f t="shared" si="67"/>
        <v>0</v>
      </c>
      <c r="L134" s="17"/>
      <c r="M134" s="56">
        <f t="shared" si="68"/>
        <v>0</v>
      </c>
      <c r="N134" s="62">
        <f t="shared" si="69"/>
        <v>0</v>
      </c>
    </row>
    <row r="135" spans="1:14" hidden="1" x14ac:dyDescent="0.3">
      <c r="A135" s="40">
        <v>45444</v>
      </c>
      <c r="B135" s="15"/>
      <c r="C135" s="15"/>
      <c r="D135" s="16"/>
      <c r="E135" s="16"/>
      <c r="F135" s="45">
        <f t="shared" si="63"/>
        <v>0</v>
      </c>
      <c r="G135" s="45">
        <f t="shared" si="64"/>
        <v>0</v>
      </c>
      <c r="H135" s="45">
        <f t="shared" si="65"/>
        <v>0</v>
      </c>
      <c r="I135" s="18"/>
      <c r="J135" s="70">
        <f t="shared" si="66"/>
        <v>0</v>
      </c>
      <c r="K135" s="45">
        <f t="shared" si="67"/>
        <v>0</v>
      </c>
      <c r="L135" s="17"/>
      <c r="M135" s="56">
        <f t="shared" si="68"/>
        <v>0</v>
      </c>
      <c r="N135" s="62">
        <f t="shared" si="69"/>
        <v>0</v>
      </c>
    </row>
    <row r="136" spans="1:14" hidden="1" x14ac:dyDescent="0.3">
      <c r="A136" s="40">
        <v>45474</v>
      </c>
      <c r="B136" s="15"/>
      <c r="C136" s="15"/>
      <c r="D136" s="16"/>
      <c r="E136" s="16"/>
      <c r="F136" s="45">
        <f t="shared" si="63"/>
        <v>0</v>
      </c>
      <c r="G136" s="45">
        <f t="shared" si="64"/>
        <v>0</v>
      </c>
      <c r="H136" s="45">
        <f t="shared" si="65"/>
        <v>0</v>
      </c>
      <c r="I136" s="18"/>
      <c r="J136" s="70">
        <f t="shared" si="66"/>
        <v>0</v>
      </c>
      <c r="K136" s="45">
        <f t="shared" si="67"/>
        <v>0</v>
      </c>
      <c r="L136" s="17"/>
      <c r="M136" s="56">
        <f t="shared" si="68"/>
        <v>0</v>
      </c>
      <c r="N136" s="62">
        <f t="shared" si="69"/>
        <v>0</v>
      </c>
    </row>
    <row r="137" spans="1:14" hidden="1" x14ac:dyDescent="0.3">
      <c r="A137" s="40">
        <v>45505</v>
      </c>
      <c r="B137" s="15"/>
      <c r="C137" s="15"/>
      <c r="D137" s="16"/>
      <c r="E137" s="16"/>
      <c r="F137" s="45">
        <f t="shared" si="63"/>
        <v>0</v>
      </c>
      <c r="G137" s="45">
        <f t="shared" si="64"/>
        <v>0</v>
      </c>
      <c r="H137" s="45">
        <f t="shared" si="65"/>
        <v>0</v>
      </c>
      <c r="I137" s="18"/>
      <c r="J137" s="70">
        <f t="shared" si="66"/>
        <v>0</v>
      </c>
      <c r="K137" s="45">
        <f t="shared" si="67"/>
        <v>0</v>
      </c>
      <c r="L137" s="17"/>
      <c r="M137" s="56">
        <f t="shared" si="68"/>
        <v>0</v>
      </c>
      <c r="N137" s="62">
        <f t="shared" si="69"/>
        <v>0</v>
      </c>
    </row>
    <row r="138" spans="1:14" hidden="1" x14ac:dyDescent="0.3">
      <c r="A138" s="40">
        <v>45536</v>
      </c>
      <c r="B138" s="15"/>
      <c r="C138" s="15"/>
      <c r="D138" s="16"/>
      <c r="E138" s="16"/>
      <c r="F138" s="45">
        <f t="shared" si="63"/>
        <v>0</v>
      </c>
      <c r="G138" s="45">
        <f t="shared" si="64"/>
        <v>0</v>
      </c>
      <c r="H138" s="45">
        <f t="shared" si="65"/>
        <v>0</v>
      </c>
      <c r="I138" s="18"/>
      <c r="J138" s="70">
        <f t="shared" si="66"/>
        <v>0</v>
      </c>
      <c r="K138" s="45">
        <f t="shared" si="67"/>
        <v>0</v>
      </c>
      <c r="L138" s="17"/>
      <c r="M138" s="56">
        <f t="shared" si="68"/>
        <v>0</v>
      </c>
      <c r="N138" s="62">
        <f t="shared" si="69"/>
        <v>0</v>
      </c>
    </row>
    <row r="139" spans="1:14" hidden="1" x14ac:dyDescent="0.3">
      <c r="A139" s="40">
        <v>45566</v>
      </c>
      <c r="B139" s="15"/>
      <c r="C139" s="15"/>
      <c r="D139" s="16"/>
      <c r="E139" s="16"/>
      <c r="F139" s="45">
        <f t="shared" si="63"/>
        <v>0</v>
      </c>
      <c r="G139" s="45">
        <f t="shared" si="64"/>
        <v>0</v>
      </c>
      <c r="H139" s="45">
        <f t="shared" si="65"/>
        <v>0</v>
      </c>
      <c r="I139" s="18"/>
      <c r="J139" s="70">
        <f t="shared" si="66"/>
        <v>0</v>
      </c>
      <c r="K139" s="45">
        <f t="shared" si="67"/>
        <v>0</v>
      </c>
      <c r="L139" s="17"/>
      <c r="M139" s="56">
        <f t="shared" si="68"/>
        <v>0</v>
      </c>
      <c r="N139" s="62">
        <f t="shared" si="69"/>
        <v>0</v>
      </c>
    </row>
    <row r="140" spans="1:14" hidden="1" x14ac:dyDescent="0.3">
      <c r="A140" s="40">
        <v>45597</v>
      </c>
      <c r="B140" s="15"/>
      <c r="C140" s="15"/>
      <c r="D140" s="16"/>
      <c r="E140" s="16"/>
      <c r="F140" s="45">
        <f t="shared" si="63"/>
        <v>0</v>
      </c>
      <c r="G140" s="45">
        <f t="shared" si="64"/>
        <v>0</v>
      </c>
      <c r="H140" s="45">
        <f t="shared" si="65"/>
        <v>0</v>
      </c>
      <c r="I140" s="18">
        <v>0</v>
      </c>
      <c r="J140" s="70">
        <f t="shared" si="66"/>
        <v>0</v>
      </c>
      <c r="K140" s="45">
        <f t="shared" si="67"/>
        <v>0</v>
      </c>
      <c r="L140" s="17" t="s">
        <v>18</v>
      </c>
      <c r="M140" s="56">
        <f t="shared" si="68"/>
        <v>0</v>
      </c>
      <c r="N140" s="62">
        <f t="shared" si="69"/>
        <v>0</v>
      </c>
    </row>
    <row r="141" spans="1:14" hidden="1" x14ac:dyDescent="0.3">
      <c r="A141" s="40">
        <v>45627</v>
      </c>
      <c r="B141" s="15"/>
      <c r="C141" s="15"/>
      <c r="D141" s="16"/>
      <c r="E141" s="16"/>
      <c r="F141" s="45">
        <f t="shared" si="63"/>
        <v>0</v>
      </c>
      <c r="G141" s="45">
        <f t="shared" si="64"/>
        <v>0</v>
      </c>
      <c r="H141" s="45">
        <f t="shared" si="65"/>
        <v>0</v>
      </c>
      <c r="I141" s="18">
        <v>0</v>
      </c>
      <c r="J141" s="70">
        <f t="shared" si="66"/>
        <v>0</v>
      </c>
      <c r="K141" s="45">
        <f t="shared" si="67"/>
        <v>0</v>
      </c>
      <c r="L141" s="17" t="s">
        <v>18</v>
      </c>
      <c r="M141" s="56">
        <f t="shared" si="68"/>
        <v>0</v>
      </c>
      <c r="N141" s="62">
        <f t="shared" si="69"/>
        <v>0</v>
      </c>
    </row>
    <row r="142" spans="1:14" hidden="1" x14ac:dyDescent="0.3">
      <c r="A142" s="37" t="s">
        <v>15</v>
      </c>
      <c r="B142" s="19"/>
      <c r="C142" s="20"/>
      <c r="D142" s="20"/>
      <c r="E142" s="20"/>
      <c r="F142" s="46"/>
      <c r="G142" s="46"/>
      <c r="H142" s="46"/>
      <c r="I142" s="22"/>
      <c r="J142" s="71"/>
      <c r="K142" s="46"/>
      <c r="L142" s="21"/>
      <c r="M142" s="46"/>
      <c r="N142" s="62">
        <f>SUM(N130:N141)/12</f>
        <v>0</v>
      </c>
    </row>
    <row r="143" spans="1:14" ht="15" hidden="1" thickBot="1" x14ac:dyDescent="0.35">
      <c r="A143" s="38" t="s">
        <v>16</v>
      </c>
      <c r="B143" s="23"/>
      <c r="C143" s="24"/>
      <c r="D143" s="24"/>
      <c r="E143" s="24"/>
      <c r="F143" s="47"/>
      <c r="G143" s="47"/>
      <c r="H143" s="47"/>
      <c r="I143" s="26"/>
      <c r="J143" s="72"/>
      <c r="K143" s="47"/>
      <c r="L143" s="25"/>
      <c r="M143" s="47"/>
      <c r="N143" s="63">
        <f>N142/3</f>
        <v>0</v>
      </c>
    </row>
    <row r="144" spans="1:14" hidden="1" x14ac:dyDescent="0.3">
      <c r="A144" s="40">
        <v>45658</v>
      </c>
      <c r="B144" s="15"/>
      <c r="C144" s="15"/>
      <c r="D144" s="16"/>
      <c r="E144" s="16"/>
      <c r="F144" s="45">
        <f t="shared" ref="F144:F155" si="70">D144-E144</f>
        <v>0</v>
      </c>
      <c r="G144" s="45">
        <f t="shared" ref="G144:G155" si="71">F144</f>
        <v>0</v>
      </c>
      <c r="H144" s="45">
        <f t="shared" ref="H144:H155" si="72">F144+G144</f>
        <v>0</v>
      </c>
      <c r="I144" s="18">
        <v>0</v>
      </c>
      <c r="J144" s="70">
        <f t="shared" ref="J144:J155" si="73">I144*5%</f>
        <v>0</v>
      </c>
      <c r="K144" s="45">
        <f t="shared" ref="K144:K155" si="74">H144*J144</f>
        <v>0</v>
      </c>
      <c r="L144" s="17" t="s">
        <v>18</v>
      </c>
      <c r="M144" s="56">
        <f t="shared" ref="M144:M155" si="75">IF(L144="Sim",(H144+K144)/6,IF(L144="Não",0,0))</f>
        <v>0</v>
      </c>
      <c r="N144" s="62">
        <f t="shared" ref="N144:N155" si="76">H144+K144+M144</f>
        <v>0</v>
      </c>
    </row>
    <row r="145" spans="1:14" hidden="1" x14ac:dyDescent="0.3">
      <c r="A145" s="40">
        <v>45689</v>
      </c>
      <c r="B145" s="15"/>
      <c r="C145" s="15"/>
      <c r="D145" s="16"/>
      <c r="E145" s="16"/>
      <c r="F145" s="45">
        <f t="shared" si="70"/>
        <v>0</v>
      </c>
      <c r="G145" s="45">
        <f t="shared" si="71"/>
        <v>0</v>
      </c>
      <c r="H145" s="45">
        <f t="shared" si="72"/>
        <v>0</v>
      </c>
      <c r="I145" s="18">
        <v>0</v>
      </c>
      <c r="J145" s="70">
        <f t="shared" si="73"/>
        <v>0</v>
      </c>
      <c r="K145" s="45">
        <f t="shared" si="74"/>
        <v>0</v>
      </c>
      <c r="L145" s="17" t="s">
        <v>18</v>
      </c>
      <c r="M145" s="56">
        <f t="shared" si="75"/>
        <v>0</v>
      </c>
      <c r="N145" s="62">
        <f t="shared" si="76"/>
        <v>0</v>
      </c>
    </row>
    <row r="146" spans="1:14" hidden="1" x14ac:dyDescent="0.3">
      <c r="A146" s="40">
        <v>45717</v>
      </c>
      <c r="B146" s="15"/>
      <c r="C146" s="15"/>
      <c r="D146" s="16"/>
      <c r="E146" s="16"/>
      <c r="F146" s="45">
        <f t="shared" si="70"/>
        <v>0</v>
      </c>
      <c r="G146" s="45">
        <f t="shared" si="71"/>
        <v>0</v>
      </c>
      <c r="H146" s="45">
        <f t="shared" si="72"/>
        <v>0</v>
      </c>
      <c r="I146" s="18"/>
      <c r="J146" s="70">
        <f t="shared" si="73"/>
        <v>0</v>
      </c>
      <c r="K146" s="45">
        <f t="shared" si="74"/>
        <v>0</v>
      </c>
      <c r="L146" s="17"/>
      <c r="M146" s="56">
        <f t="shared" si="75"/>
        <v>0</v>
      </c>
      <c r="N146" s="62">
        <f t="shared" si="76"/>
        <v>0</v>
      </c>
    </row>
    <row r="147" spans="1:14" hidden="1" x14ac:dyDescent="0.3">
      <c r="A147" s="40">
        <v>45748</v>
      </c>
      <c r="B147" s="15"/>
      <c r="C147" s="15"/>
      <c r="D147" s="16"/>
      <c r="E147" s="16"/>
      <c r="F147" s="45">
        <f t="shared" si="70"/>
        <v>0</v>
      </c>
      <c r="G147" s="45">
        <f t="shared" si="71"/>
        <v>0</v>
      </c>
      <c r="H147" s="45">
        <f t="shared" si="72"/>
        <v>0</v>
      </c>
      <c r="I147" s="18"/>
      <c r="J147" s="70">
        <f t="shared" si="73"/>
        <v>0</v>
      </c>
      <c r="K147" s="45">
        <f t="shared" si="74"/>
        <v>0</v>
      </c>
      <c r="L147" s="17"/>
      <c r="M147" s="56">
        <f t="shared" si="75"/>
        <v>0</v>
      </c>
      <c r="N147" s="62">
        <f t="shared" si="76"/>
        <v>0</v>
      </c>
    </row>
    <row r="148" spans="1:14" x14ac:dyDescent="0.3">
      <c r="A148" s="40">
        <v>45778</v>
      </c>
      <c r="B148" s="15" t="s">
        <v>19</v>
      </c>
      <c r="C148" s="15" t="s">
        <v>20</v>
      </c>
      <c r="D148" s="16">
        <v>3716.47</v>
      </c>
      <c r="E148" s="16">
        <v>3149.14</v>
      </c>
      <c r="F148" s="45">
        <f t="shared" si="70"/>
        <v>567.32999999999993</v>
      </c>
      <c r="G148" s="45">
        <f t="shared" si="71"/>
        <v>567.32999999999993</v>
      </c>
      <c r="H148" s="45">
        <f t="shared" si="72"/>
        <v>1134.6599999999999</v>
      </c>
      <c r="I148" s="18">
        <v>1</v>
      </c>
      <c r="J148" s="70">
        <f t="shared" si="73"/>
        <v>0.05</v>
      </c>
      <c r="K148" s="45">
        <f t="shared" si="74"/>
        <v>56.732999999999997</v>
      </c>
      <c r="L148" s="17" t="s">
        <v>18</v>
      </c>
      <c r="M148" s="56">
        <f t="shared" si="75"/>
        <v>0</v>
      </c>
      <c r="N148" s="62">
        <f t="shared" si="76"/>
        <v>1191.3929999999998</v>
      </c>
    </row>
    <row r="149" spans="1:14" x14ac:dyDescent="0.3">
      <c r="A149" s="40">
        <v>45809</v>
      </c>
      <c r="B149" s="15" t="s">
        <v>19</v>
      </c>
      <c r="C149" s="15" t="s">
        <v>20</v>
      </c>
      <c r="D149" s="16">
        <v>3716.47</v>
      </c>
      <c r="E149" s="16">
        <v>3149.14</v>
      </c>
      <c r="F149" s="45">
        <f t="shared" si="70"/>
        <v>567.32999999999993</v>
      </c>
      <c r="G149" s="45">
        <f t="shared" si="71"/>
        <v>567.32999999999993</v>
      </c>
      <c r="H149" s="45">
        <f t="shared" si="72"/>
        <v>1134.6599999999999</v>
      </c>
      <c r="I149" s="18">
        <v>1</v>
      </c>
      <c r="J149" s="70">
        <f t="shared" si="73"/>
        <v>0.05</v>
      </c>
      <c r="K149" s="45">
        <f t="shared" si="74"/>
        <v>56.732999999999997</v>
      </c>
      <c r="L149" s="17" t="s">
        <v>18</v>
      </c>
      <c r="M149" s="56">
        <f t="shared" si="75"/>
        <v>0</v>
      </c>
      <c r="N149" s="62">
        <f t="shared" si="76"/>
        <v>1191.3929999999998</v>
      </c>
    </row>
    <row r="150" spans="1:14" x14ac:dyDescent="0.3">
      <c r="A150" s="40">
        <v>45839</v>
      </c>
      <c r="B150" s="15" t="s">
        <v>19</v>
      </c>
      <c r="C150" s="15" t="s">
        <v>20</v>
      </c>
      <c r="D150" s="16">
        <v>3716.47</v>
      </c>
      <c r="E150" s="16">
        <v>3149.14</v>
      </c>
      <c r="F150" s="45">
        <f t="shared" si="70"/>
        <v>567.32999999999993</v>
      </c>
      <c r="G150" s="45">
        <f t="shared" si="71"/>
        <v>567.32999999999993</v>
      </c>
      <c r="H150" s="45">
        <f t="shared" si="72"/>
        <v>1134.6599999999999</v>
      </c>
      <c r="I150" s="18">
        <v>1</v>
      </c>
      <c r="J150" s="70">
        <f t="shared" si="73"/>
        <v>0.05</v>
      </c>
      <c r="K150" s="45">
        <f t="shared" si="74"/>
        <v>56.732999999999997</v>
      </c>
      <c r="L150" s="17" t="s">
        <v>18</v>
      </c>
      <c r="M150" s="56">
        <f t="shared" si="75"/>
        <v>0</v>
      </c>
      <c r="N150" s="62">
        <f t="shared" si="76"/>
        <v>1191.3929999999998</v>
      </c>
    </row>
    <row r="151" spans="1:14" x14ac:dyDescent="0.3">
      <c r="A151" s="40">
        <v>45870</v>
      </c>
      <c r="B151" s="15" t="s">
        <v>19</v>
      </c>
      <c r="C151" s="15" t="s">
        <v>20</v>
      </c>
      <c r="D151" s="16">
        <v>3902.29</v>
      </c>
      <c r="E151" s="16">
        <v>3306.6</v>
      </c>
      <c r="F151" s="45">
        <f t="shared" si="70"/>
        <v>595.69000000000005</v>
      </c>
      <c r="G151" s="45">
        <f t="shared" si="71"/>
        <v>595.69000000000005</v>
      </c>
      <c r="H151" s="45">
        <f t="shared" si="72"/>
        <v>1191.3800000000001</v>
      </c>
      <c r="I151" s="18">
        <v>1</v>
      </c>
      <c r="J151" s="70">
        <f t="shared" si="73"/>
        <v>0.05</v>
      </c>
      <c r="K151" s="45">
        <f t="shared" si="74"/>
        <v>59.56900000000001</v>
      </c>
      <c r="L151" s="17" t="s">
        <v>18</v>
      </c>
      <c r="M151" s="56">
        <f t="shared" si="75"/>
        <v>0</v>
      </c>
      <c r="N151" s="62">
        <f t="shared" si="76"/>
        <v>1250.9490000000001</v>
      </c>
    </row>
    <row r="152" spans="1:14" x14ac:dyDescent="0.3">
      <c r="A152" s="40">
        <v>45901</v>
      </c>
      <c r="B152" s="15" t="s">
        <v>19</v>
      </c>
      <c r="C152" s="15" t="s">
        <v>20</v>
      </c>
      <c r="D152" s="16">
        <v>3902.29</v>
      </c>
      <c r="E152" s="16">
        <v>3306.6</v>
      </c>
      <c r="F152" s="45">
        <f t="shared" si="70"/>
        <v>595.69000000000005</v>
      </c>
      <c r="G152" s="45">
        <f t="shared" si="71"/>
        <v>595.69000000000005</v>
      </c>
      <c r="H152" s="45">
        <f t="shared" si="72"/>
        <v>1191.3800000000001</v>
      </c>
      <c r="I152" s="18">
        <v>1</v>
      </c>
      <c r="J152" s="70">
        <f t="shared" si="73"/>
        <v>0.05</v>
      </c>
      <c r="K152" s="45">
        <f t="shared" si="74"/>
        <v>59.56900000000001</v>
      </c>
      <c r="L152" s="17" t="s">
        <v>18</v>
      </c>
      <c r="M152" s="56">
        <f t="shared" si="75"/>
        <v>0</v>
      </c>
      <c r="N152" s="62">
        <f t="shared" si="76"/>
        <v>1250.9490000000001</v>
      </c>
    </row>
    <row r="153" spans="1:14" x14ac:dyDescent="0.3">
      <c r="A153" s="40">
        <v>45931</v>
      </c>
      <c r="B153" s="15" t="s">
        <v>19</v>
      </c>
      <c r="C153" s="15" t="s">
        <v>20</v>
      </c>
      <c r="D153" s="16">
        <v>3902.29</v>
      </c>
      <c r="E153" s="16">
        <v>3306.6</v>
      </c>
      <c r="F153" s="45">
        <f t="shared" si="70"/>
        <v>595.69000000000005</v>
      </c>
      <c r="G153" s="45">
        <f t="shared" si="71"/>
        <v>595.69000000000005</v>
      </c>
      <c r="H153" s="45">
        <f t="shared" si="72"/>
        <v>1191.3800000000001</v>
      </c>
      <c r="I153" s="18">
        <v>1</v>
      </c>
      <c r="J153" s="70">
        <f t="shared" si="73"/>
        <v>0.05</v>
      </c>
      <c r="K153" s="45">
        <f t="shared" si="74"/>
        <v>59.56900000000001</v>
      </c>
      <c r="L153" s="17" t="s">
        <v>18</v>
      </c>
      <c r="M153" s="56">
        <f t="shared" si="75"/>
        <v>0</v>
      </c>
      <c r="N153" s="62">
        <f t="shared" si="76"/>
        <v>1250.9490000000001</v>
      </c>
    </row>
    <row r="154" spans="1:14" x14ac:dyDescent="0.3">
      <c r="A154" s="40">
        <v>45962</v>
      </c>
      <c r="B154" s="15" t="s">
        <v>19</v>
      </c>
      <c r="C154" s="15" t="s">
        <v>20</v>
      </c>
      <c r="D154" s="16">
        <v>3902.29</v>
      </c>
      <c r="E154" s="16">
        <v>3306.6</v>
      </c>
      <c r="F154" s="45">
        <f t="shared" si="70"/>
        <v>595.69000000000005</v>
      </c>
      <c r="G154" s="45">
        <f t="shared" si="71"/>
        <v>595.69000000000005</v>
      </c>
      <c r="H154" s="45">
        <f t="shared" si="72"/>
        <v>1191.3800000000001</v>
      </c>
      <c r="I154" s="18">
        <v>1</v>
      </c>
      <c r="J154" s="70">
        <f t="shared" si="73"/>
        <v>0.05</v>
      </c>
      <c r="K154" s="45">
        <f t="shared" si="74"/>
        <v>59.56900000000001</v>
      </c>
      <c r="L154" s="17" t="s">
        <v>18</v>
      </c>
      <c r="M154" s="56">
        <f t="shared" si="75"/>
        <v>0</v>
      </c>
      <c r="N154" s="62">
        <f t="shared" si="76"/>
        <v>1250.9490000000001</v>
      </c>
    </row>
    <row r="155" spans="1:14" x14ac:dyDescent="0.3">
      <c r="A155" s="40">
        <v>45992</v>
      </c>
      <c r="B155" s="15" t="s">
        <v>19</v>
      </c>
      <c r="C155" s="15" t="s">
        <v>20</v>
      </c>
      <c r="D155" s="16">
        <v>3902.29</v>
      </c>
      <c r="E155" s="16">
        <v>3306.6</v>
      </c>
      <c r="F155" s="45">
        <f t="shared" si="70"/>
        <v>595.69000000000005</v>
      </c>
      <c r="G155" s="45">
        <f t="shared" si="71"/>
        <v>595.69000000000005</v>
      </c>
      <c r="H155" s="45">
        <f t="shared" si="72"/>
        <v>1191.3800000000001</v>
      </c>
      <c r="I155" s="18">
        <v>1</v>
      </c>
      <c r="J155" s="70">
        <f t="shared" si="73"/>
        <v>0.05</v>
      </c>
      <c r="K155" s="45">
        <f t="shared" si="74"/>
        <v>59.56900000000001</v>
      </c>
      <c r="L155" s="17" t="s">
        <v>18</v>
      </c>
      <c r="M155" s="56">
        <f t="shared" si="75"/>
        <v>0</v>
      </c>
      <c r="N155" s="62">
        <f t="shared" si="76"/>
        <v>1250.9490000000001</v>
      </c>
    </row>
    <row r="156" spans="1:14" x14ac:dyDescent="0.3">
      <c r="A156" s="37" t="s">
        <v>15</v>
      </c>
      <c r="B156" s="19"/>
      <c r="C156" s="20"/>
      <c r="D156" s="20"/>
      <c r="E156" s="20"/>
      <c r="F156" s="46"/>
      <c r="G156" s="46"/>
      <c r="H156" s="46"/>
      <c r="I156" s="22"/>
      <c r="J156" s="71"/>
      <c r="K156" s="46"/>
      <c r="L156" s="21"/>
      <c r="M156" s="46"/>
      <c r="N156" s="62">
        <f>SUM(N144:N155)/12</f>
        <v>819.07700000000011</v>
      </c>
    </row>
    <row r="157" spans="1:14" ht="15" thickBot="1" x14ac:dyDescent="0.35">
      <c r="A157" s="38" t="s">
        <v>16</v>
      </c>
      <c r="B157" s="23"/>
      <c r="C157" s="24"/>
      <c r="D157" s="24"/>
      <c r="E157" s="24"/>
      <c r="F157" s="47"/>
      <c r="G157" s="47"/>
      <c r="H157" s="47"/>
      <c r="I157" s="26"/>
      <c r="J157" s="72"/>
      <c r="K157" s="47"/>
      <c r="L157" s="25"/>
      <c r="M157" s="47"/>
      <c r="N157" s="63">
        <f>N156/3</f>
        <v>273.02566666666672</v>
      </c>
    </row>
    <row r="158" spans="1:14" x14ac:dyDescent="0.3">
      <c r="A158" s="40">
        <v>46023</v>
      </c>
      <c r="B158" s="15" t="s">
        <v>19</v>
      </c>
      <c r="C158" s="15" t="s">
        <v>20</v>
      </c>
      <c r="D158" s="16">
        <v>3902.29</v>
      </c>
      <c r="E158" s="16">
        <v>3306.6</v>
      </c>
      <c r="F158" s="45">
        <f t="shared" ref="F158:F169" si="77">D158-E158</f>
        <v>595.69000000000005</v>
      </c>
      <c r="G158" s="45">
        <f t="shared" ref="G158:G169" si="78">F158</f>
        <v>595.69000000000005</v>
      </c>
      <c r="H158" s="45">
        <f t="shared" ref="H158:H169" si="79">F158+G158</f>
        <v>1191.3800000000001</v>
      </c>
      <c r="I158" s="18">
        <v>1</v>
      </c>
      <c r="J158" s="70">
        <f t="shared" ref="J158:J169" si="80">I158*5%</f>
        <v>0.05</v>
      </c>
      <c r="K158" s="45">
        <f t="shared" ref="K158:K169" si="81">H158*J158</f>
        <v>59.56900000000001</v>
      </c>
      <c r="L158" s="17" t="s">
        <v>18</v>
      </c>
      <c r="M158" s="56">
        <f t="shared" ref="M158:M169" si="82">IF(L158="Sim",(H158+K158)/6,IF(L158="Não",0,0))</f>
        <v>0</v>
      </c>
      <c r="N158" s="62">
        <f t="shared" ref="N158:N169" si="83">H158+K158+M158</f>
        <v>1250.9490000000001</v>
      </c>
    </row>
    <row r="159" spans="1:14" x14ac:dyDescent="0.3">
      <c r="A159" s="40">
        <v>46054</v>
      </c>
      <c r="B159" s="15" t="s">
        <v>19</v>
      </c>
      <c r="C159" s="15" t="s">
        <v>20</v>
      </c>
      <c r="D159" s="16">
        <v>3902.29</v>
      </c>
      <c r="E159" s="16">
        <v>3306.6</v>
      </c>
      <c r="F159" s="45">
        <f t="shared" si="77"/>
        <v>595.69000000000005</v>
      </c>
      <c r="G159" s="45">
        <f t="shared" si="78"/>
        <v>595.69000000000005</v>
      </c>
      <c r="H159" s="45">
        <f t="shared" si="79"/>
        <v>1191.3800000000001</v>
      </c>
      <c r="I159" s="18">
        <v>1</v>
      </c>
      <c r="J159" s="70">
        <f t="shared" si="80"/>
        <v>0.05</v>
      </c>
      <c r="K159" s="45">
        <f t="shared" si="81"/>
        <v>59.56900000000001</v>
      </c>
      <c r="L159" s="17" t="s">
        <v>18</v>
      </c>
      <c r="M159" s="56">
        <f t="shared" si="82"/>
        <v>0</v>
      </c>
      <c r="N159" s="62">
        <f t="shared" si="83"/>
        <v>1250.9490000000001</v>
      </c>
    </row>
    <row r="160" spans="1:14" hidden="1" x14ac:dyDescent="0.3">
      <c r="A160" s="40">
        <v>46082</v>
      </c>
      <c r="B160" s="15"/>
      <c r="C160" s="15"/>
      <c r="D160" s="16"/>
      <c r="E160" s="16"/>
      <c r="F160" s="45">
        <f t="shared" si="77"/>
        <v>0</v>
      </c>
      <c r="G160" s="45">
        <f t="shared" si="78"/>
        <v>0</v>
      </c>
      <c r="H160" s="45">
        <f t="shared" si="79"/>
        <v>0</v>
      </c>
      <c r="I160" s="18"/>
      <c r="J160" s="70">
        <f t="shared" si="80"/>
        <v>0</v>
      </c>
      <c r="K160" s="45">
        <f t="shared" si="81"/>
        <v>0</v>
      </c>
      <c r="L160" s="17"/>
      <c r="M160" s="56">
        <f t="shared" si="82"/>
        <v>0</v>
      </c>
      <c r="N160" s="62">
        <f t="shared" si="83"/>
        <v>0</v>
      </c>
    </row>
    <row r="161" spans="1:14" hidden="1" x14ac:dyDescent="0.3">
      <c r="A161" s="40">
        <v>46113</v>
      </c>
      <c r="B161" s="15"/>
      <c r="C161" s="15"/>
      <c r="D161" s="16"/>
      <c r="E161" s="16"/>
      <c r="F161" s="45">
        <f t="shared" si="77"/>
        <v>0</v>
      </c>
      <c r="G161" s="45">
        <f t="shared" si="78"/>
        <v>0</v>
      </c>
      <c r="H161" s="45">
        <f t="shared" si="79"/>
        <v>0</v>
      </c>
      <c r="I161" s="18"/>
      <c r="J161" s="70">
        <f t="shared" si="80"/>
        <v>0</v>
      </c>
      <c r="K161" s="45">
        <f t="shared" si="81"/>
        <v>0</v>
      </c>
      <c r="L161" s="17"/>
      <c r="M161" s="56">
        <f t="shared" si="82"/>
        <v>0</v>
      </c>
      <c r="N161" s="62">
        <f t="shared" si="83"/>
        <v>0</v>
      </c>
    </row>
    <row r="162" spans="1:14" hidden="1" x14ac:dyDescent="0.3">
      <c r="A162" s="40">
        <v>46143</v>
      </c>
      <c r="B162" s="15"/>
      <c r="C162" s="15"/>
      <c r="D162" s="16"/>
      <c r="E162" s="16"/>
      <c r="F162" s="45">
        <f t="shared" si="77"/>
        <v>0</v>
      </c>
      <c r="G162" s="45">
        <f t="shared" si="78"/>
        <v>0</v>
      </c>
      <c r="H162" s="45">
        <f t="shared" si="79"/>
        <v>0</v>
      </c>
      <c r="I162" s="18"/>
      <c r="J162" s="70">
        <f t="shared" si="80"/>
        <v>0</v>
      </c>
      <c r="K162" s="45">
        <f t="shared" si="81"/>
        <v>0</v>
      </c>
      <c r="L162" s="17"/>
      <c r="M162" s="56">
        <f t="shared" si="82"/>
        <v>0</v>
      </c>
      <c r="N162" s="62">
        <f t="shared" si="83"/>
        <v>0</v>
      </c>
    </row>
    <row r="163" spans="1:14" hidden="1" x14ac:dyDescent="0.3">
      <c r="A163" s="40">
        <v>46174</v>
      </c>
      <c r="B163" s="15"/>
      <c r="C163" s="15"/>
      <c r="D163" s="16"/>
      <c r="E163" s="16"/>
      <c r="F163" s="45">
        <f t="shared" si="77"/>
        <v>0</v>
      </c>
      <c r="G163" s="45">
        <f t="shared" si="78"/>
        <v>0</v>
      </c>
      <c r="H163" s="45">
        <f t="shared" si="79"/>
        <v>0</v>
      </c>
      <c r="I163" s="18"/>
      <c r="J163" s="70">
        <f t="shared" si="80"/>
        <v>0</v>
      </c>
      <c r="K163" s="45">
        <f t="shared" si="81"/>
        <v>0</v>
      </c>
      <c r="L163" s="17"/>
      <c r="M163" s="56">
        <f t="shared" si="82"/>
        <v>0</v>
      </c>
      <c r="N163" s="62">
        <f t="shared" si="83"/>
        <v>0</v>
      </c>
    </row>
    <row r="164" spans="1:14" hidden="1" x14ac:dyDescent="0.3">
      <c r="A164" s="40">
        <v>46204</v>
      </c>
      <c r="B164" s="15"/>
      <c r="C164" s="15"/>
      <c r="D164" s="16"/>
      <c r="E164" s="16"/>
      <c r="F164" s="45">
        <f t="shared" si="77"/>
        <v>0</v>
      </c>
      <c r="G164" s="45">
        <f t="shared" si="78"/>
        <v>0</v>
      </c>
      <c r="H164" s="45">
        <f t="shared" si="79"/>
        <v>0</v>
      </c>
      <c r="I164" s="18"/>
      <c r="J164" s="70">
        <f t="shared" si="80"/>
        <v>0</v>
      </c>
      <c r="K164" s="45">
        <f t="shared" si="81"/>
        <v>0</v>
      </c>
      <c r="L164" s="17"/>
      <c r="M164" s="56">
        <f t="shared" si="82"/>
        <v>0</v>
      </c>
      <c r="N164" s="62">
        <f t="shared" si="83"/>
        <v>0</v>
      </c>
    </row>
    <row r="165" spans="1:14" hidden="1" x14ac:dyDescent="0.3">
      <c r="A165" s="40">
        <v>46235</v>
      </c>
      <c r="B165" s="15"/>
      <c r="C165" s="15"/>
      <c r="D165" s="16"/>
      <c r="E165" s="16"/>
      <c r="F165" s="45">
        <f t="shared" si="77"/>
        <v>0</v>
      </c>
      <c r="G165" s="45">
        <f t="shared" si="78"/>
        <v>0</v>
      </c>
      <c r="H165" s="45">
        <f t="shared" si="79"/>
        <v>0</v>
      </c>
      <c r="I165" s="18"/>
      <c r="J165" s="70">
        <f t="shared" si="80"/>
        <v>0</v>
      </c>
      <c r="K165" s="45">
        <f t="shared" si="81"/>
        <v>0</v>
      </c>
      <c r="L165" s="17"/>
      <c r="M165" s="56">
        <f t="shared" si="82"/>
        <v>0</v>
      </c>
      <c r="N165" s="62">
        <f t="shared" si="83"/>
        <v>0</v>
      </c>
    </row>
    <row r="166" spans="1:14" hidden="1" x14ac:dyDescent="0.3">
      <c r="A166" s="40">
        <v>46266</v>
      </c>
      <c r="B166" s="15"/>
      <c r="C166" s="15"/>
      <c r="D166" s="16"/>
      <c r="E166" s="16"/>
      <c r="F166" s="45">
        <f t="shared" si="77"/>
        <v>0</v>
      </c>
      <c r="G166" s="45">
        <f t="shared" si="78"/>
        <v>0</v>
      </c>
      <c r="H166" s="45">
        <f t="shared" si="79"/>
        <v>0</v>
      </c>
      <c r="I166" s="18"/>
      <c r="J166" s="70">
        <f t="shared" si="80"/>
        <v>0</v>
      </c>
      <c r="K166" s="45">
        <f t="shared" si="81"/>
        <v>0</v>
      </c>
      <c r="L166" s="17"/>
      <c r="M166" s="56">
        <f t="shared" si="82"/>
        <v>0</v>
      </c>
      <c r="N166" s="62">
        <f t="shared" si="83"/>
        <v>0</v>
      </c>
    </row>
    <row r="167" spans="1:14" hidden="1" x14ac:dyDescent="0.3">
      <c r="A167" s="40">
        <v>46296</v>
      </c>
      <c r="B167" s="15"/>
      <c r="C167" s="15"/>
      <c r="D167" s="16"/>
      <c r="E167" s="16"/>
      <c r="F167" s="45">
        <f t="shared" si="77"/>
        <v>0</v>
      </c>
      <c r="G167" s="45">
        <f t="shared" si="78"/>
        <v>0</v>
      </c>
      <c r="H167" s="45">
        <f t="shared" si="79"/>
        <v>0</v>
      </c>
      <c r="I167" s="18"/>
      <c r="J167" s="70">
        <f t="shared" si="80"/>
        <v>0</v>
      </c>
      <c r="K167" s="45">
        <f t="shared" si="81"/>
        <v>0</v>
      </c>
      <c r="L167" s="17"/>
      <c r="M167" s="56">
        <f t="shared" si="82"/>
        <v>0</v>
      </c>
      <c r="N167" s="62">
        <f t="shared" si="83"/>
        <v>0</v>
      </c>
    </row>
    <row r="168" spans="1:14" hidden="1" x14ac:dyDescent="0.3">
      <c r="A168" s="40">
        <v>46327</v>
      </c>
      <c r="B168" s="15"/>
      <c r="C168" s="15"/>
      <c r="D168" s="16"/>
      <c r="E168" s="16"/>
      <c r="F168" s="45">
        <f t="shared" si="77"/>
        <v>0</v>
      </c>
      <c r="G168" s="45">
        <f t="shared" si="78"/>
        <v>0</v>
      </c>
      <c r="H168" s="45">
        <f t="shared" si="79"/>
        <v>0</v>
      </c>
      <c r="I168" s="18"/>
      <c r="J168" s="70">
        <f t="shared" si="80"/>
        <v>0</v>
      </c>
      <c r="K168" s="45">
        <f t="shared" si="81"/>
        <v>0</v>
      </c>
      <c r="L168" s="17"/>
      <c r="M168" s="56">
        <f t="shared" si="82"/>
        <v>0</v>
      </c>
      <c r="N168" s="62">
        <f t="shared" si="83"/>
        <v>0</v>
      </c>
    </row>
    <row r="169" spans="1:14" hidden="1" x14ac:dyDescent="0.3">
      <c r="A169" s="40">
        <v>46357</v>
      </c>
      <c r="B169" s="15"/>
      <c r="C169" s="15"/>
      <c r="D169" s="16"/>
      <c r="E169" s="16"/>
      <c r="F169" s="45">
        <f t="shared" si="77"/>
        <v>0</v>
      </c>
      <c r="G169" s="45">
        <f t="shared" si="78"/>
        <v>0</v>
      </c>
      <c r="H169" s="45">
        <f t="shared" si="79"/>
        <v>0</v>
      </c>
      <c r="I169" s="18"/>
      <c r="J169" s="70">
        <f t="shared" si="80"/>
        <v>0</v>
      </c>
      <c r="K169" s="45">
        <f t="shared" si="81"/>
        <v>0</v>
      </c>
      <c r="L169" s="17"/>
      <c r="M169" s="56">
        <f t="shared" si="82"/>
        <v>0</v>
      </c>
      <c r="N169" s="62">
        <f t="shared" si="83"/>
        <v>0</v>
      </c>
    </row>
    <row r="170" spans="1:14" hidden="1" x14ac:dyDescent="0.3">
      <c r="A170" s="37" t="s">
        <v>15</v>
      </c>
      <c r="B170" s="19"/>
      <c r="C170" s="20"/>
      <c r="D170" s="20"/>
      <c r="E170" s="20"/>
      <c r="F170" s="46"/>
      <c r="G170" s="46"/>
      <c r="H170" s="46"/>
      <c r="I170" s="22"/>
      <c r="J170" s="71"/>
      <c r="K170" s="46"/>
      <c r="L170" s="21"/>
      <c r="M170" s="46"/>
      <c r="N170" s="62">
        <f>SUM(N158:N169)/12</f>
        <v>208.4915</v>
      </c>
    </row>
    <row r="171" spans="1:14" ht="15" hidden="1" thickBot="1" x14ac:dyDescent="0.35">
      <c r="A171" s="38" t="s">
        <v>16</v>
      </c>
      <c r="B171" s="23"/>
      <c r="C171" s="24"/>
      <c r="D171" s="24"/>
      <c r="E171" s="24"/>
      <c r="F171" s="47"/>
      <c r="G171" s="47"/>
      <c r="H171" s="47"/>
      <c r="I171" s="26"/>
      <c r="J171" s="72"/>
      <c r="K171" s="47"/>
      <c r="L171" s="25"/>
      <c r="M171" s="47"/>
      <c r="N171" s="63">
        <f>N170/3</f>
        <v>69.497166666666672</v>
      </c>
    </row>
    <row r="172" spans="1:14" hidden="1" x14ac:dyDescent="0.3">
      <c r="A172" s="40">
        <v>46388</v>
      </c>
      <c r="B172" s="15"/>
      <c r="C172" s="15"/>
      <c r="D172" s="16"/>
      <c r="E172" s="16"/>
      <c r="F172" s="45">
        <f t="shared" ref="F172:F183" si="84">D172-E172</f>
        <v>0</v>
      </c>
      <c r="G172" s="45">
        <f t="shared" ref="G172:G183" si="85">F172</f>
        <v>0</v>
      </c>
      <c r="H172" s="45">
        <f t="shared" ref="H172:H183" si="86">F172+G172</f>
        <v>0</v>
      </c>
      <c r="I172" s="18"/>
      <c r="J172" s="70">
        <f t="shared" ref="J172:J183" si="87">I172*5%</f>
        <v>0</v>
      </c>
      <c r="K172" s="45">
        <f t="shared" ref="K172:K183" si="88">H172*J172</f>
        <v>0</v>
      </c>
      <c r="L172" s="17"/>
      <c r="M172" s="56">
        <f t="shared" ref="M172:M183" si="89">IF(L172="Sim",(H172+K172)/6,IF(L172="Não",0,0))</f>
        <v>0</v>
      </c>
      <c r="N172" s="62">
        <f t="shared" ref="N172:N183" si="90">H172+K172+M172</f>
        <v>0</v>
      </c>
    </row>
    <row r="173" spans="1:14" hidden="1" x14ac:dyDescent="0.3">
      <c r="A173" s="40">
        <v>46419</v>
      </c>
      <c r="B173" s="15"/>
      <c r="C173" s="15"/>
      <c r="D173" s="16"/>
      <c r="E173" s="16"/>
      <c r="F173" s="45">
        <f t="shared" si="84"/>
        <v>0</v>
      </c>
      <c r="G173" s="45">
        <f t="shared" si="85"/>
        <v>0</v>
      </c>
      <c r="H173" s="45">
        <f t="shared" si="86"/>
        <v>0</v>
      </c>
      <c r="I173" s="18"/>
      <c r="J173" s="70">
        <f t="shared" si="87"/>
        <v>0</v>
      </c>
      <c r="K173" s="45">
        <f t="shared" si="88"/>
        <v>0</v>
      </c>
      <c r="L173" s="17"/>
      <c r="M173" s="56">
        <f t="shared" si="89"/>
        <v>0</v>
      </c>
      <c r="N173" s="62">
        <f t="shared" si="90"/>
        <v>0</v>
      </c>
    </row>
    <row r="174" spans="1:14" hidden="1" x14ac:dyDescent="0.3">
      <c r="A174" s="40">
        <v>46447</v>
      </c>
      <c r="B174" s="15"/>
      <c r="C174" s="15"/>
      <c r="D174" s="16"/>
      <c r="E174" s="16"/>
      <c r="F174" s="45">
        <f t="shared" si="84"/>
        <v>0</v>
      </c>
      <c r="G174" s="45">
        <f t="shared" si="85"/>
        <v>0</v>
      </c>
      <c r="H174" s="45">
        <f t="shared" si="86"/>
        <v>0</v>
      </c>
      <c r="I174" s="18"/>
      <c r="J174" s="70">
        <f t="shared" si="87"/>
        <v>0</v>
      </c>
      <c r="K174" s="45">
        <f t="shared" si="88"/>
        <v>0</v>
      </c>
      <c r="L174" s="17"/>
      <c r="M174" s="56">
        <f t="shared" si="89"/>
        <v>0</v>
      </c>
      <c r="N174" s="62">
        <f t="shared" si="90"/>
        <v>0</v>
      </c>
    </row>
    <row r="175" spans="1:14" hidden="1" x14ac:dyDescent="0.3">
      <c r="A175" s="40">
        <v>46478</v>
      </c>
      <c r="B175" s="15"/>
      <c r="C175" s="15"/>
      <c r="D175" s="16"/>
      <c r="E175" s="16"/>
      <c r="F175" s="45">
        <f t="shared" si="84"/>
        <v>0</v>
      </c>
      <c r="G175" s="45">
        <f t="shared" si="85"/>
        <v>0</v>
      </c>
      <c r="H175" s="45">
        <f t="shared" si="86"/>
        <v>0</v>
      </c>
      <c r="I175" s="18"/>
      <c r="J175" s="70">
        <f t="shared" si="87"/>
        <v>0</v>
      </c>
      <c r="K175" s="45">
        <f t="shared" si="88"/>
        <v>0</v>
      </c>
      <c r="L175" s="17"/>
      <c r="M175" s="56">
        <f t="shared" si="89"/>
        <v>0</v>
      </c>
      <c r="N175" s="62">
        <f t="shared" si="90"/>
        <v>0</v>
      </c>
    </row>
    <row r="176" spans="1:14" hidden="1" x14ac:dyDescent="0.3">
      <c r="A176" s="40">
        <v>46508</v>
      </c>
      <c r="B176" s="15"/>
      <c r="C176" s="15"/>
      <c r="D176" s="16"/>
      <c r="E176" s="16"/>
      <c r="F176" s="45">
        <f t="shared" si="84"/>
        <v>0</v>
      </c>
      <c r="G176" s="45">
        <f t="shared" si="85"/>
        <v>0</v>
      </c>
      <c r="H176" s="45">
        <f t="shared" si="86"/>
        <v>0</v>
      </c>
      <c r="I176" s="18"/>
      <c r="J176" s="70">
        <f t="shared" si="87"/>
        <v>0</v>
      </c>
      <c r="K176" s="45">
        <f t="shared" si="88"/>
        <v>0</v>
      </c>
      <c r="L176" s="17"/>
      <c r="M176" s="56">
        <f t="shared" si="89"/>
        <v>0</v>
      </c>
      <c r="N176" s="62">
        <f t="shared" si="90"/>
        <v>0</v>
      </c>
    </row>
    <row r="177" spans="1:14" hidden="1" x14ac:dyDescent="0.3">
      <c r="A177" s="40">
        <v>46539</v>
      </c>
      <c r="B177" s="15"/>
      <c r="C177" s="15"/>
      <c r="D177" s="16"/>
      <c r="E177" s="16"/>
      <c r="F177" s="45">
        <f t="shared" si="84"/>
        <v>0</v>
      </c>
      <c r="G177" s="45">
        <f t="shared" si="85"/>
        <v>0</v>
      </c>
      <c r="H177" s="45">
        <f t="shared" si="86"/>
        <v>0</v>
      </c>
      <c r="I177" s="18"/>
      <c r="J177" s="70">
        <f t="shared" si="87"/>
        <v>0</v>
      </c>
      <c r="K177" s="45">
        <f t="shared" si="88"/>
        <v>0</v>
      </c>
      <c r="L177" s="17"/>
      <c r="M177" s="56">
        <f t="shared" si="89"/>
        <v>0</v>
      </c>
      <c r="N177" s="62">
        <f t="shared" si="90"/>
        <v>0</v>
      </c>
    </row>
    <row r="178" spans="1:14" hidden="1" x14ac:dyDescent="0.3">
      <c r="A178" s="40">
        <v>46569</v>
      </c>
      <c r="B178" s="15"/>
      <c r="C178" s="15"/>
      <c r="D178" s="16"/>
      <c r="E178" s="16"/>
      <c r="F178" s="45">
        <f t="shared" si="84"/>
        <v>0</v>
      </c>
      <c r="G178" s="45">
        <f t="shared" si="85"/>
        <v>0</v>
      </c>
      <c r="H178" s="45">
        <f t="shared" si="86"/>
        <v>0</v>
      </c>
      <c r="I178" s="18"/>
      <c r="J178" s="70">
        <f t="shared" si="87"/>
        <v>0</v>
      </c>
      <c r="K178" s="45">
        <f t="shared" si="88"/>
        <v>0</v>
      </c>
      <c r="L178" s="17"/>
      <c r="M178" s="56">
        <f t="shared" si="89"/>
        <v>0</v>
      </c>
      <c r="N178" s="62">
        <f t="shared" si="90"/>
        <v>0</v>
      </c>
    </row>
    <row r="179" spans="1:14" hidden="1" x14ac:dyDescent="0.3">
      <c r="A179" s="40">
        <v>46600</v>
      </c>
      <c r="B179" s="15"/>
      <c r="C179" s="15"/>
      <c r="D179" s="16"/>
      <c r="E179" s="16"/>
      <c r="F179" s="45">
        <f t="shared" si="84"/>
        <v>0</v>
      </c>
      <c r="G179" s="45">
        <f t="shared" si="85"/>
        <v>0</v>
      </c>
      <c r="H179" s="45">
        <f t="shared" si="86"/>
        <v>0</v>
      </c>
      <c r="I179" s="18"/>
      <c r="J179" s="70">
        <f t="shared" si="87"/>
        <v>0</v>
      </c>
      <c r="K179" s="45">
        <f t="shared" si="88"/>
        <v>0</v>
      </c>
      <c r="L179" s="17"/>
      <c r="M179" s="56">
        <f t="shared" si="89"/>
        <v>0</v>
      </c>
      <c r="N179" s="62">
        <f t="shared" si="90"/>
        <v>0</v>
      </c>
    </row>
    <row r="180" spans="1:14" hidden="1" x14ac:dyDescent="0.3">
      <c r="A180" s="40">
        <v>46631</v>
      </c>
      <c r="B180" s="15"/>
      <c r="C180" s="15"/>
      <c r="D180" s="16"/>
      <c r="E180" s="16"/>
      <c r="F180" s="45">
        <f t="shared" si="84"/>
        <v>0</v>
      </c>
      <c r="G180" s="45">
        <f t="shared" si="85"/>
        <v>0</v>
      </c>
      <c r="H180" s="45">
        <f t="shared" si="86"/>
        <v>0</v>
      </c>
      <c r="I180" s="18"/>
      <c r="J180" s="70">
        <f t="shared" si="87"/>
        <v>0</v>
      </c>
      <c r="K180" s="45">
        <f t="shared" si="88"/>
        <v>0</v>
      </c>
      <c r="L180" s="17"/>
      <c r="M180" s="56">
        <f t="shared" si="89"/>
        <v>0</v>
      </c>
      <c r="N180" s="62">
        <f t="shared" si="90"/>
        <v>0</v>
      </c>
    </row>
    <row r="181" spans="1:14" hidden="1" x14ac:dyDescent="0.3">
      <c r="A181" s="40">
        <v>46661</v>
      </c>
      <c r="B181" s="15"/>
      <c r="C181" s="15"/>
      <c r="D181" s="16"/>
      <c r="E181" s="16"/>
      <c r="F181" s="45">
        <f t="shared" si="84"/>
        <v>0</v>
      </c>
      <c r="G181" s="45">
        <f t="shared" si="85"/>
        <v>0</v>
      </c>
      <c r="H181" s="45">
        <f t="shared" si="86"/>
        <v>0</v>
      </c>
      <c r="I181" s="18"/>
      <c r="J181" s="70">
        <f t="shared" si="87"/>
        <v>0</v>
      </c>
      <c r="K181" s="45">
        <f t="shared" si="88"/>
        <v>0</v>
      </c>
      <c r="L181" s="17"/>
      <c r="M181" s="56">
        <f t="shared" si="89"/>
        <v>0</v>
      </c>
      <c r="N181" s="62">
        <f t="shared" si="90"/>
        <v>0</v>
      </c>
    </row>
    <row r="182" spans="1:14" hidden="1" x14ac:dyDescent="0.3">
      <c r="A182" s="40">
        <v>46692</v>
      </c>
      <c r="B182" s="15"/>
      <c r="C182" s="15"/>
      <c r="D182" s="16"/>
      <c r="E182" s="16"/>
      <c r="F182" s="45">
        <f t="shared" si="84"/>
        <v>0</v>
      </c>
      <c r="G182" s="45">
        <f t="shared" si="85"/>
        <v>0</v>
      </c>
      <c r="H182" s="45">
        <f t="shared" si="86"/>
        <v>0</v>
      </c>
      <c r="I182" s="18"/>
      <c r="J182" s="70">
        <f t="shared" si="87"/>
        <v>0</v>
      </c>
      <c r="K182" s="45">
        <f t="shared" si="88"/>
        <v>0</v>
      </c>
      <c r="L182" s="17"/>
      <c r="M182" s="56">
        <f t="shared" si="89"/>
        <v>0</v>
      </c>
      <c r="N182" s="62">
        <f t="shared" si="90"/>
        <v>0</v>
      </c>
    </row>
    <row r="183" spans="1:14" hidden="1" x14ac:dyDescent="0.3">
      <c r="A183" s="40">
        <v>46722</v>
      </c>
      <c r="B183" s="15"/>
      <c r="C183" s="15"/>
      <c r="D183" s="16"/>
      <c r="E183" s="16"/>
      <c r="F183" s="45">
        <f t="shared" si="84"/>
        <v>0</v>
      </c>
      <c r="G183" s="45">
        <f t="shared" si="85"/>
        <v>0</v>
      </c>
      <c r="H183" s="45">
        <f t="shared" si="86"/>
        <v>0</v>
      </c>
      <c r="I183" s="18"/>
      <c r="J183" s="70">
        <f t="shared" si="87"/>
        <v>0</v>
      </c>
      <c r="K183" s="45">
        <f t="shared" si="88"/>
        <v>0</v>
      </c>
      <c r="L183" s="17"/>
      <c r="M183" s="56">
        <f t="shared" si="89"/>
        <v>0</v>
      </c>
      <c r="N183" s="62">
        <f t="shared" si="90"/>
        <v>0</v>
      </c>
    </row>
    <row r="184" spans="1:14" hidden="1" x14ac:dyDescent="0.3">
      <c r="A184" s="37" t="s">
        <v>15</v>
      </c>
      <c r="B184" s="19"/>
      <c r="C184" s="20"/>
      <c r="D184" s="20"/>
      <c r="E184" s="20"/>
      <c r="F184" s="46"/>
      <c r="G184" s="46"/>
      <c r="H184" s="46"/>
      <c r="I184" s="22"/>
      <c r="J184" s="71"/>
      <c r="K184" s="46"/>
      <c r="L184" s="21"/>
      <c r="M184" s="46"/>
      <c r="N184" s="62">
        <f>SUM(N172:N183)/12</f>
        <v>0</v>
      </c>
    </row>
    <row r="185" spans="1:14" ht="15" hidden="1" thickBot="1" x14ac:dyDescent="0.35">
      <c r="A185" s="38" t="s">
        <v>16</v>
      </c>
      <c r="B185" s="23"/>
      <c r="C185" s="24"/>
      <c r="D185" s="24"/>
      <c r="E185" s="24"/>
      <c r="F185" s="47"/>
      <c r="G185" s="47"/>
      <c r="H185" s="47"/>
      <c r="I185" s="26"/>
      <c r="J185" s="72"/>
      <c r="K185" s="47"/>
      <c r="L185" s="25"/>
      <c r="M185" s="47"/>
      <c r="N185" s="63">
        <f>N184/3</f>
        <v>0</v>
      </c>
    </row>
    <row r="186" spans="1:14" hidden="1" x14ac:dyDescent="0.3">
      <c r="A186" s="40">
        <v>46753</v>
      </c>
      <c r="B186" s="15"/>
      <c r="C186" s="15"/>
      <c r="D186" s="16"/>
      <c r="E186" s="16"/>
      <c r="F186" s="45">
        <f t="shared" ref="F186:F197" si="91">D186-E186</f>
        <v>0</v>
      </c>
      <c r="G186" s="45">
        <f t="shared" ref="G186:G197" si="92">F186</f>
        <v>0</v>
      </c>
      <c r="H186" s="45">
        <f t="shared" ref="H186:H197" si="93">F186+G186</f>
        <v>0</v>
      </c>
      <c r="I186" s="18"/>
      <c r="J186" s="70">
        <f t="shared" ref="J186:J197" si="94">I186*5%</f>
        <v>0</v>
      </c>
      <c r="K186" s="45">
        <f t="shared" ref="K186:K197" si="95">H186*J186</f>
        <v>0</v>
      </c>
      <c r="L186" s="17"/>
      <c r="M186" s="56">
        <f t="shared" ref="M186:M197" si="96">IF(L186="Sim",(H186+K186)/6,IF(L186="Não",0,0))</f>
        <v>0</v>
      </c>
      <c r="N186" s="62">
        <f t="shared" ref="N186:N197" si="97">H186+K186+M186</f>
        <v>0</v>
      </c>
    </row>
    <row r="187" spans="1:14" hidden="1" x14ac:dyDescent="0.3">
      <c r="A187" s="40">
        <v>46784</v>
      </c>
      <c r="B187" s="15"/>
      <c r="C187" s="15"/>
      <c r="D187" s="16"/>
      <c r="E187" s="16"/>
      <c r="F187" s="45">
        <f t="shared" si="91"/>
        <v>0</v>
      </c>
      <c r="G187" s="45">
        <f t="shared" si="92"/>
        <v>0</v>
      </c>
      <c r="H187" s="45">
        <f t="shared" si="93"/>
        <v>0</v>
      </c>
      <c r="I187" s="18"/>
      <c r="J187" s="70">
        <f t="shared" si="94"/>
        <v>0</v>
      </c>
      <c r="K187" s="45">
        <f t="shared" si="95"/>
        <v>0</v>
      </c>
      <c r="L187" s="17"/>
      <c r="M187" s="56">
        <f t="shared" si="96"/>
        <v>0</v>
      </c>
      <c r="N187" s="62">
        <f t="shared" si="97"/>
        <v>0</v>
      </c>
    </row>
    <row r="188" spans="1:14" hidden="1" x14ac:dyDescent="0.3">
      <c r="A188" s="40">
        <v>46813</v>
      </c>
      <c r="B188" s="15"/>
      <c r="C188" s="15"/>
      <c r="D188" s="16"/>
      <c r="E188" s="16"/>
      <c r="F188" s="45">
        <f t="shared" si="91"/>
        <v>0</v>
      </c>
      <c r="G188" s="45">
        <f t="shared" si="92"/>
        <v>0</v>
      </c>
      <c r="H188" s="45">
        <f t="shared" si="93"/>
        <v>0</v>
      </c>
      <c r="I188" s="18"/>
      <c r="J188" s="70">
        <f t="shared" si="94"/>
        <v>0</v>
      </c>
      <c r="K188" s="45">
        <f t="shared" si="95"/>
        <v>0</v>
      </c>
      <c r="L188" s="17"/>
      <c r="M188" s="56">
        <f t="shared" si="96"/>
        <v>0</v>
      </c>
      <c r="N188" s="62">
        <f t="shared" si="97"/>
        <v>0</v>
      </c>
    </row>
    <row r="189" spans="1:14" hidden="1" x14ac:dyDescent="0.3">
      <c r="A189" s="40">
        <v>46844</v>
      </c>
      <c r="B189" s="15"/>
      <c r="C189" s="15"/>
      <c r="D189" s="16"/>
      <c r="E189" s="16"/>
      <c r="F189" s="45">
        <f t="shared" si="91"/>
        <v>0</v>
      </c>
      <c r="G189" s="45">
        <f t="shared" si="92"/>
        <v>0</v>
      </c>
      <c r="H189" s="45">
        <f t="shared" si="93"/>
        <v>0</v>
      </c>
      <c r="I189" s="18"/>
      <c r="J189" s="70">
        <f t="shared" si="94"/>
        <v>0</v>
      </c>
      <c r="K189" s="45">
        <f t="shared" si="95"/>
        <v>0</v>
      </c>
      <c r="L189" s="17"/>
      <c r="M189" s="56">
        <f t="shared" si="96"/>
        <v>0</v>
      </c>
      <c r="N189" s="62">
        <f t="shared" si="97"/>
        <v>0</v>
      </c>
    </row>
    <row r="190" spans="1:14" hidden="1" x14ac:dyDescent="0.3">
      <c r="A190" s="40">
        <v>46874</v>
      </c>
      <c r="B190" s="15"/>
      <c r="C190" s="15"/>
      <c r="D190" s="16"/>
      <c r="E190" s="16"/>
      <c r="F190" s="45">
        <f t="shared" si="91"/>
        <v>0</v>
      </c>
      <c r="G190" s="45">
        <f t="shared" si="92"/>
        <v>0</v>
      </c>
      <c r="H190" s="45">
        <f t="shared" si="93"/>
        <v>0</v>
      </c>
      <c r="I190" s="18"/>
      <c r="J190" s="70">
        <f t="shared" si="94"/>
        <v>0</v>
      </c>
      <c r="K190" s="45">
        <f t="shared" si="95"/>
        <v>0</v>
      </c>
      <c r="L190" s="17"/>
      <c r="M190" s="56">
        <f t="shared" si="96"/>
        <v>0</v>
      </c>
      <c r="N190" s="62">
        <f t="shared" si="97"/>
        <v>0</v>
      </c>
    </row>
    <row r="191" spans="1:14" hidden="1" x14ac:dyDescent="0.3">
      <c r="A191" s="40">
        <v>46905</v>
      </c>
      <c r="B191" s="15"/>
      <c r="C191" s="15"/>
      <c r="D191" s="16"/>
      <c r="E191" s="16"/>
      <c r="F191" s="45">
        <f t="shared" si="91"/>
        <v>0</v>
      </c>
      <c r="G191" s="45">
        <f t="shared" si="92"/>
        <v>0</v>
      </c>
      <c r="H191" s="45">
        <f t="shared" si="93"/>
        <v>0</v>
      </c>
      <c r="I191" s="18"/>
      <c r="J191" s="70">
        <f t="shared" si="94"/>
        <v>0</v>
      </c>
      <c r="K191" s="45">
        <f t="shared" si="95"/>
        <v>0</v>
      </c>
      <c r="L191" s="17"/>
      <c r="M191" s="56">
        <f t="shared" si="96"/>
        <v>0</v>
      </c>
      <c r="N191" s="62">
        <f t="shared" si="97"/>
        <v>0</v>
      </c>
    </row>
    <row r="192" spans="1:14" hidden="1" x14ac:dyDescent="0.3">
      <c r="A192" s="40">
        <v>46935</v>
      </c>
      <c r="B192" s="15"/>
      <c r="C192" s="15"/>
      <c r="D192" s="16"/>
      <c r="E192" s="16"/>
      <c r="F192" s="45">
        <f t="shared" si="91"/>
        <v>0</v>
      </c>
      <c r="G192" s="45">
        <f t="shared" si="92"/>
        <v>0</v>
      </c>
      <c r="H192" s="45">
        <f t="shared" si="93"/>
        <v>0</v>
      </c>
      <c r="I192" s="18"/>
      <c r="J192" s="70">
        <f t="shared" si="94"/>
        <v>0</v>
      </c>
      <c r="K192" s="45">
        <f t="shared" si="95"/>
        <v>0</v>
      </c>
      <c r="L192" s="17"/>
      <c r="M192" s="56">
        <f t="shared" si="96"/>
        <v>0</v>
      </c>
      <c r="N192" s="62">
        <f t="shared" si="97"/>
        <v>0</v>
      </c>
    </row>
    <row r="193" spans="1:14" hidden="1" x14ac:dyDescent="0.3">
      <c r="A193" s="40">
        <v>46966</v>
      </c>
      <c r="B193" s="15"/>
      <c r="C193" s="15"/>
      <c r="D193" s="16"/>
      <c r="E193" s="16"/>
      <c r="F193" s="45">
        <f t="shared" si="91"/>
        <v>0</v>
      </c>
      <c r="G193" s="45">
        <f t="shared" si="92"/>
        <v>0</v>
      </c>
      <c r="H193" s="45">
        <f t="shared" si="93"/>
        <v>0</v>
      </c>
      <c r="I193" s="18"/>
      <c r="J193" s="70">
        <f t="shared" si="94"/>
        <v>0</v>
      </c>
      <c r="K193" s="45">
        <f t="shared" si="95"/>
        <v>0</v>
      </c>
      <c r="L193" s="17"/>
      <c r="M193" s="56">
        <f t="shared" si="96"/>
        <v>0</v>
      </c>
      <c r="N193" s="62">
        <f t="shared" si="97"/>
        <v>0</v>
      </c>
    </row>
    <row r="194" spans="1:14" hidden="1" x14ac:dyDescent="0.3">
      <c r="A194" s="40">
        <v>46997</v>
      </c>
      <c r="B194" s="15"/>
      <c r="C194" s="15"/>
      <c r="D194" s="16"/>
      <c r="E194" s="16"/>
      <c r="F194" s="45">
        <f t="shared" si="91"/>
        <v>0</v>
      </c>
      <c r="G194" s="45">
        <f t="shared" si="92"/>
        <v>0</v>
      </c>
      <c r="H194" s="45">
        <f t="shared" si="93"/>
        <v>0</v>
      </c>
      <c r="I194" s="18"/>
      <c r="J194" s="70">
        <f t="shared" si="94"/>
        <v>0</v>
      </c>
      <c r="K194" s="45">
        <f t="shared" si="95"/>
        <v>0</v>
      </c>
      <c r="L194" s="17"/>
      <c r="M194" s="56">
        <f t="shared" si="96"/>
        <v>0</v>
      </c>
      <c r="N194" s="62">
        <f t="shared" si="97"/>
        <v>0</v>
      </c>
    </row>
    <row r="195" spans="1:14" hidden="1" x14ac:dyDescent="0.3">
      <c r="A195" s="40">
        <v>47027</v>
      </c>
      <c r="B195" s="15"/>
      <c r="C195" s="15"/>
      <c r="D195" s="16"/>
      <c r="E195" s="16"/>
      <c r="F195" s="45">
        <f t="shared" si="91"/>
        <v>0</v>
      </c>
      <c r="G195" s="45">
        <f t="shared" si="92"/>
        <v>0</v>
      </c>
      <c r="H195" s="45">
        <f t="shared" si="93"/>
        <v>0</v>
      </c>
      <c r="I195" s="18"/>
      <c r="J195" s="70">
        <f t="shared" si="94"/>
        <v>0</v>
      </c>
      <c r="K195" s="45">
        <f t="shared" si="95"/>
        <v>0</v>
      </c>
      <c r="L195" s="17"/>
      <c r="M195" s="56">
        <f t="shared" si="96"/>
        <v>0</v>
      </c>
      <c r="N195" s="62">
        <f t="shared" si="97"/>
        <v>0</v>
      </c>
    </row>
    <row r="196" spans="1:14" hidden="1" x14ac:dyDescent="0.3">
      <c r="A196" s="40">
        <v>47058</v>
      </c>
      <c r="B196" s="15"/>
      <c r="C196" s="15"/>
      <c r="D196" s="16"/>
      <c r="E196" s="16"/>
      <c r="F196" s="45">
        <f t="shared" si="91"/>
        <v>0</v>
      </c>
      <c r="G196" s="45">
        <f t="shared" si="92"/>
        <v>0</v>
      </c>
      <c r="H196" s="45">
        <f t="shared" si="93"/>
        <v>0</v>
      </c>
      <c r="I196" s="18"/>
      <c r="J196" s="70">
        <f t="shared" si="94"/>
        <v>0</v>
      </c>
      <c r="K196" s="45">
        <f t="shared" si="95"/>
        <v>0</v>
      </c>
      <c r="L196" s="17"/>
      <c r="M196" s="56">
        <f t="shared" si="96"/>
        <v>0</v>
      </c>
      <c r="N196" s="62">
        <f t="shared" si="97"/>
        <v>0</v>
      </c>
    </row>
    <row r="197" spans="1:14" hidden="1" x14ac:dyDescent="0.3">
      <c r="A197" s="40">
        <v>47088</v>
      </c>
      <c r="B197" s="15"/>
      <c r="C197" s="15"/>
      <c r="D197" s="16"/>
      <c r="E197" s="16"/>
      <c r="F197" s="45">
        <f t="shared" si="91"/>
        <v>0</v>
      </c>
      <c r="G197" s="45">
        <f t="shared" si="92"/>
        <v>0</v>
      </c>
      <c r="H197" s="45">
        <f t="shared" si="93"/>
        <v>0</v>
      </c>
      <c r="I197" s="18"/>
      <c r="J197" s="70">
        <f t="shared" si="94"/>
        <v>0</v>
      </c>
      <c r="K197" s="45">
        <f t="shared" si="95"/>
        <v>0</v>
      </c>
      <c r="L197" s="17"/>
      <c r="M197" s="56">
        <f t="shared" si="96"/>
        <v>0</v>
      </c>
      <c r="N197" s="62">
        <f t="shared" si="97"/>
        <v>0</v>
      </c>
    </row>
    <row r="198" spans="1:14" hidden="1" x14ac:dyDescent="0.3">
      <c r="A198" s="37" t="s">
        <v>15</v>
      </c>
      <c r="B198" s="19"/>
      <c r="C198" s="20"/>
      <c r="D198" s="20"/>
      <c r="E198" s="20"/>
      <c r="F198" s="46"/>
      <c r="G198" s="46"/>
      <c r="H198" s="46"/>
      <c r="I198" s="22"/>
      <c r="J198" s="71"/>
      <c r="K198" s="46"/>
      <c r="L198" s="21"/>
      <c r="M198" s="46"/>
      <c r="N198" s="62">
        <f>SUM(N186:N197)/12</f>
        <v>0</v>
      </c>
    </row>
    <row r="199" spans="1:14" ht="15" hidden="1" thickBot="1" x14ac:dyDescent="0.35">
      <c r="A199" s="38" t="s">
        <v>16</v>
      </c>
      <c r="B199" s="23"/>
      <c r="C199" s="24"/>
      <c r="D199" s="24"/>
      <c r="E199" s="24"/>
      <c r="F199" s="47"/>
      <c r="G199" s="47"/>
      <c r="H199" s="47"/>
      <c r="I199" s="26"/>
      <c r="J199" s="72"/>
      <c r="K199" s="47"/>
      <c r="L199" s="25"/>
      <c r="M199" s="47"/>
      <c r="N199" s="63">
        <f>N198/3</f>
        <v>0</v>
      </c>
    </row>
    <row r="200" spans="1:14" hidden="1" x14ac:dyDescent="0.3">
      <c r="A200" s="40">
        <v>47119</v>
      </c>
      <c r="B200" s="15"/>
      <c r="C200" s="15"/>
      <c r="D200" s="16"/>
      <c r="E200" s="16"/>
      <c r="F200" s="45">
        <f t="shared" ref="F200:F211" si="98">D200-E200</f>
        <v>0</v>
      </c>
      <c r="G200" s="45">
        <f t="shared" ref="G200:G211" si="99">F200</f>
        <v>0</v>
      </c>
      <c r="H200" s="45">
        <f t="shared" ref="H200:H211" si="100">F200+G200</f>
        <v>0</v>
      </c>
      <c r="I200" s="18"/>
      <c r="J200" s="70">
        <f t="shared" ref="J200:J211" si="101">I200*5%</f>
        <v>0</v>
      </c>
      <c r="K200" s="45">
        <f t="shared" ref="K200:K211" si="102">H200*J200</f>
        <v>0</v>
      </c>
      <c r="L200" s="17"/>
      <c r="M200" s="56">
        <f t="shared" ref="M200:M211" si="103">IF(L200="Sim",(H200+K200)/6,IF(L200="Não",0,0))</f>
        <v>0</v>
      </c>
      <c r="N200" s="62">
        <f t="shared" ref="N200:N211" si="104">H200+K200+M200</f>
        <v>0</v>
      </c>
    </row>
    <row r="201" spans="1:14" hidden="1" x14ac:dyDescent="0.3">
      <c r="A201" s="40">
        <v>47150</v>
      </c>
      <c r="B201" s="15"/>
      <c r="C201" s="15"/>
      <c r="D201" s="16"/>
      <c r="E201" s="16"/>
      <c r="F201" s="45">
        <f t="shared" si="98"/>
        <v>0</v>
      </c>
      <c r="G201" s="45">
        <f t="shared" si="99"/>
        <v>0</v>
      </c>
      <c r="H201" s="45">
        <f t="shared" si="100"/>
        <v>0</v>
      </c>
      <c r="I201" s="18"/>
      <c r="J201" s="70">
        <f t="shared" si="101"/>
        <v>0</v>
      </c>
      <c r="K201" s="45">
        <f t="shared" si="102"/>
        <v>0</v>
      </c>
      <c r="L201" s="17"/>
      <c r="M201" s="56">
        <f t="shared" si="103"/>
        <v>0</v>
      </c>
      <c r="N201" s="62">
        <f t="shared" si="104"/>
        <v>0</v>
      </c>
    </row>
    <row r="202" spans="1:14" hidden="1" x14ac:dyDescent="0.3">
      <c r="A202" s="40">
        <v>47178</v>
      </c>
      <c r="B202" s="15"/>
      <c r="C202" s="15"/>
      <c r="D202" s="16"/>
      <c r="E202" s="16"/>
      <c r="F202" s="45">
        <f t="shared" si="98"/>
        <v>0</v>
      </c>
      <c r="G202" s="45">
        <f t="shared" si="99"/>
        <v>0</v>
      </c>
      <c r="H202" s="45">
        <f t="shared" si="100"/>
        <v>0</v>
      </c>
      <c r="I202" s="18"/>
      <c r="J202" s="70">
        <f t="shared" si="101"/>
        <v>0</v>
      </c>
      <c r="K202" s="45">
        <f t="shared" si="102"/>
        <v>0</v>
      </c>
      <c r="L202" s="17"/>
      <c r="M202" s="56">
        <f t="shared" si="103"/>
        <v>0</v>
      </c>
      <c r="N202" s="62">
        <f t="shared" si="104"/>
        <v>0</v>
      </c>
    </row>
    <row r="203" spans="1:14" hidden="1" x14ac:dyDescent="0.3">
      <c r="A203" s="40">
        <v>47209</v>
      </c>
      <c r="B203" s="15"/>
      <c r="C203" s="15"/>
      <c r="D203" s="16"/>
      <c r="E203" s="16"/>
      <c r="F203" s="45">
        <f t="shared" si="98"/>
        <v>0</v>
      </c>
      <c r="G203" s="45">
        <f t="shared" si="99"/>
        <v>0</v>
      </c>
      <c r="H203" s="45">
        <f t="shared" si="100"/>
        <v>0</v>
      </c>
      <c r="I203" s="18"/>
      <c r="J203" s="70">
        <f t="shared" si="101"/>
        <v>0</v>
      </c>
      <c r="K203" s="45">
        <f t="shared" si="102"/>
        <v>0</v>
      </c>
      <c r="L203" s="17"/>
      <c r="M203" s="56">
        <f t="shared" si="103"/>
        <v>0</v>
      </c>
      <c r="N203" s="62">
        <f t="shared" si="104"/>
        <v>0</v>
      </c>
    </row>
    <row r="204" spans="1:14" hidden="1" x14ac:dyDescent="0.3">
      <c r="A204" s="40">
        <v>47239</v>
      </c>
      <c r="B204" s="15"/>
      <c r="C204" s="15"/>
      <c r="D204" s="16"/>
      <c r="E204" s="16"/>
      <c r="F204" s="45">
        <f t="shared" si="98"/>
        <v>0</v>
      </c>
      <c r="G204" s="45">
        <f t="shared" si="99"/>
        <v>0</v>
      </c>
      <c r="H204" s="45">
        <f t="shared" si="100"/>
        <v>0</v>
      </c>
      <c r="I204" s="18"/>
      <c r="J204" s="70">
        <f t="shared" si="101"/>
        <v>0</v>
      </c>
      <c r="K204" s="45">
        <f t="shared" si="102"/>
        <v>0</v>
      </c>
      <c r="L204" s="17"/>
      <c r="M204" s="56">
        <f t="shared" si="103"/>
        <v>0</v>
      </c>
      <c r="N204" s="62">
        <f t="shared" si="104"/>
        <v>0</v>
      </c>
    </row>
    <row r="205" spans="1:14" hidden="1" x14ac:dyDescent="0.3">
      <c r="A205" s="40">
        <v>47270</v>
      </c>
      <c r="B205" s="15"/>
      <c r="C205" s="15"/>
      <c r="D205" s="16"/>
      <c r="E205" s="16"/>
      <c r="F205" s="45">
        <f t="shared" si="98"/>
        <v>0</v>
      </c>
      <c r="G205" s="45">
        <f t="shared" si="99"/>
        <v>0</v>
      </c>
      <c r="H205" s="45">
        <f t="shared" si="100"/>
        <v>0</v>
      </c>
      <c r="I205" s="18"/>
      <c r="J205" s="70">
        <f t="shared" si="101"/>
        <v>0</v>
      </c>
      <c r="K205" s="45">
        <f t="shared" si="102"/>
        <v>0</v>
      </c>
      <c r="L205" s="17"/>
      <c r="M205" s="56">
        <f t="shared" si="103"/>
        <v>0</v>
      </c>
      <c r="N205" s="62">
        <f t="shared" si="104"/>
        <v>0</v>
      </c>
    </row>
    <row r="206" spans="1:14" hidden="1" x14ac:dyDescent="0.3">
      <c r="A206" s="40">
        <v>47300</v>
      </c>
      <c r="B206" s="15"/>
      <c r="C206" s="15"/>
      <c r="D206" s="16"/>
      <c r="E206" s="16"/>
      <c r="F206" s="45">
        <f t="shared" si="98"/>
        <v>0</v>
      </c>
      <c r="G206" s="45">
        <f t="shared" si="99"/>
        <v>0</v>
      </c>
      <c r="H206" s="45">
        <f t="shared" si="100"/>
        <v>0</v>
      </c>
      <c r="I206" s="18"/>
      <c r="J206" s="70">
        <f t="shared" si="101"/>
        <v>0</v>
      </c>
      <c r="K206" s="45">
        <f t="shared" si="102"/>
        <v>0</v>
      </c>
      <c r="L206" s="17"/>
      <c r="M206" s="56">
        <f t="shared" si="103"/>
        <v>0</v>
      </c>
      <c r="N206" s="62">
        <f t="shared" si="104"/>
        <v>0</v>
      </c>
    </row>
    <row r="207" spans="1:14" hidden="1" x14ac:dyDescent="0.3">
      <c r="A207" s="40">
        <v>47331</v>
      </c>
      <c r="B207" s="15"/>
      <c r="C207" s="15"/>
      <c r="D207" s="16"/>
      <c r="E207" s="16"/>
      <c r="F207" s="45">
        <f t="shared" si="98"/>
        <v>0</v>
      </c>
      <c r="G207" s="45">
        <f t="shared" si="99"/>
        <v>0</v>
      </c>
      <c r="H207" s="45">
        <f t="shared" si="100"/>
        <v>0</v>
      </c>
      <c r="I207" s="18"/>
      <c r="J207" s="70">
        <f t="shared" si="101"/>
        <v>0</v>
      </c>
      <c r="K207" s="45">
        <f t="shared" si="102"/>
        <v>0</v>
      </c>
      <c r="L207" s="17"/>
      <c r="M207" s="56">
        <f t="shared" si="103"/>
        <v>0</v>
      </c>
      <c r="N207" s="62">
        <f t="shared" si="104"/>
        <v>0</v>
      </c>
    </row>
    <row r="208" spans="1:14" hidden="1" x14ac:dyDescent="0.3">
      <c r="A208" s="40">
        <v>47362</v>
      </c>
      <c r="B208" s="15"/>
      <c r="C208" s="15"/>
      <c r="D208" s="16"/>
      <c r="E208" s="16"/>
      <c r="F208" s="45">
        <f t="shared" si="98"/>
        <v>0</v>
      </c>
      <c r="G208" s="45">
        <f t="shared" si="99"/>
        <v>0</v>
      </c>
      <c r="H208" s="45">
        <f t="shared" si="100"/>
        <v>0</v>
      </c>
      <c r="I208" s="18"/>
      <c r="J208" s="70">
        <f t="shared" si="101"/>
        <v>0</v>
      </c>
      <c r="K208" s="45">
        <f t="shared" si="102"/>
        <v>0</v>
      </c>
      <c r="L208" s="17"/>
      <c r="M208" s="56">
        <f t="shared" si="103"/>
        <v>0</v>
      </c>
      <c r="N208" s="62">
        <f t="shared" si="104"/>
        <v>0</v>
      </c>
    </row>
    <row r="209" spans="1:14" hidden="1" x14ac:dyDescent="0.3">
      <c r="A209" s="40">
        <v>47392</v>
      </c>
      <c r="B209" s="15"/>
      <c r="C209" s="15"/>
      <c r="D209" s="16"/>
      <c r="E209" s="16"/>
      <c r="F209" s="45">
        <f t="shared" si="98"/>
        <v>0</v>
      </c>
      <c r="G209" s="45">
        <f t="shared" si="99"/>
        <v>0</v>
      </c>
      <c r="H209" s="45">
        <f t="shared" si="100"/>
        <v>0</v>
      </c>
      <c r="I209" s="18"/>
      <c r="J209" s="70">
        <f t="shared" si="101"/>
        <v>0</v>
      </c>
      <c r="K209" s="45">
        <f t="shared" si="102"/>
        <v>0</v>
      </c>
      <c r="L209" s="17"/>
      <c r="M209" s="56">
        <f t="shared" si="103"/>
        <v>0</v>
      </c>
      <c r="N209" s="62">
        <f t="shared" si="104"/>
        <v>0</v>
      </c>
    </row>
    <row r="210" spans="1:14" hidden="1" x14ac:dyDescent="0.3">
      <c r="A210" s="40">
        <v>47423</v>
      </c>
      <c r="B210" s="15"/>
      <c r="C210" s="15"/>
      <c r="D210" s="16"/>
      <c r="E210" s="16"/>
      <c r="F210" s="45">
        <f t="shared" si="98"/>
        <v>0</v>
      </c>
      <c r="G210" s="45">
        <f t="shared" si="99"/>
        <v>0</v>
      </c>
      <c r="H210" s="45">
        <f t="shared" si="100"/>
        <v>0</v>
      </c>
      <c r="I210" s="18"/>
      <c r="J210" s="70">
        <f t="shared" si="101"/>
        <v>0</v>
      </c>
      <c r="K210" s="45">
        <f t="shared" si="102"/>
        <v>0</v>
      </c>
      <c r="L210" s="17"/>
      <c r="M210" s="56">
        <f t="shared" si="103"/>
        <v>0</v>
      </c>
      <c r="N210" s="62">
        <f t="shared" si="104"/>
        <v>0</v>
      </c>
    </row>
    <row r="211" spans="1:14" hidden="1" x14ac:dyDescent="0.3">
      <c r="A211" s="40">
        <v>47453</v>
      </c>
      <c r="B211" s="15"/>
      <c r="C211" s="15"/>
      <c r="D211" s="16"/>
      <c r="E211" s="16"/>
      <c r="F211" s="45">
        <f t="shared" si="98"/>
        <v>0</v>
      </c>
      <c r="G211" s="45">
        <f t="shared" si="99"/>
        <v>0</v>
      </c>
      <c r="H211" s="45">
        <f t="shared" si="100"/>
        <v>0</v>
      </c>
      <c r="I211" s="18"/>
      <c r="J211" s="70">
        <f t="shared" si="101"/>
        <v>0</v>
      </c>
      <c r="K211" s="45">
        <f t="shared" si="102"/>
        <v>0</v>
      </c>
      <c r="L211" s="17"/>
      <c r="M211" s="56">
        <f t="shared" si="103"/>
        <v>0</v>
      </c>
      <c r="N211" s="62">
        <f t="shared" si="104"/>
        <v>0</v>
      </c>
    </row>
    <row r="212" spans="1:14" hidden="1" x14ac:dyDescent="0.3">
      <c r="A212" s="37" t="s">
        <v>15</v>
      </c>
      <c r="B212" s="19"/>
      <c r="C212" s="20"/>
      <c r="D212" s="20"/>
      <c r="E212" s="20"/>
      <c r="F212" s="46"/>
      <c r="G212" s="46"/>
      <c r="H212" s="46"/>
      <c r="I212" s="22"/>
      <c r="J212" s="71"/>
      <c r="K212" s="46"/>
      <c r="L212" s="21"/>
      <c r="M212" s="46"/>
      <c r="N212" s="62">
        <f>SUM(N200:N211)/12</f>
        <v>0</v>
      </c>
    </row>
    <row r="213" spans="1:14" ht="15" hidden="1" thickBot="1" x14ac:dyDescent="0.35">
      <c r="A213" s="38" t="s">
        <v>16</v>
      </c>
      <c r="B213" s="23"/>
      <c r="C213" s="24"/>
      <c r="D213" s="24"/>
      <c r="E213" s="24"/>
      <c r="F213" s="47"/>
      <c r="G213" s="47"/>
      <c r="H213" s="47"/>
      <c r="I213" s="26"/>
      <c r="J213" s="72"/>
      <c r="K213" s="47"/>
      <c r="L213" s="25"/>
      <c r="M213" s="47"/>
      <c r="N213" s="63">
        <f>N212/3</f>
        <v>0</v>
      </c>
    </row>
    <row r="214" spans="1:14" hidden="1" x14ac:dyDescent="0.3">
      <c r="A214" s="40">
        <v>47484</v>
      </c>
      <c r="B214" s="15"/>
      <c r="C214" s="15"/>
      <c r="D214" s="16"/>
      <c r="E214" s="16"/>
      <c r="F214" s="45">
        <f t="shared" ref="F214:F225" si="105">D214-E214</f>
        <v>0</v>
      </c>
      <c r="G214" s="45">
        <f t="shared" ref="G214:G225" si="106">F214</f>
        <v>0</v>
      </c>
      <c r="H214" s="45">
        <f t="shared" ref="H214:H225" si="107">F214+G214</f>
        <v>0</v>
      </c>
      <c r="I214" s="18"/>
      <c r="J214" s="70">
        <f t="shared" ref="J214:J225" si="108">I214*5%</f>
        <v>0</v>
      </c>
      <c r="K214" s="45">
        <f t="shared" ref="K214:K225" si="109">H214*J214</f>
        <v>0</v>
      </c>
      <c r="L214" s="17"/>
      <c r="M214" s="56">
        <f t="shared" ref="M214:M225" si="110">IF(L214="Sim",(H214+K214)/6,IF(L214="Não",0,0))</f>
        <v>0</v>
      </c>
      <c r="N214" s="62">
        <f t="shared" ref="N214:N225" si="111">H214+K214+M214</f>
        <v>0</v>
      </c>
    </row>
    <row r="215" spans="1:14" hidden="1" x14ac:dyDescent="0.3">
      <c r="A215" s="40">
        <v>47515</v>
      </c>
      <c r="B215" s="15"/>
      <c r="C215" s="15"/>
      <c r="D215" s="16"/>
      <c r="E215" s="16"/>
      <c r="F215" s="45">
        <f t="shared" si="105"/>
        <v>0</v>
      </c>
      <c r="G215" s="45">
        <f t="shared" si="106"/>
        <v>0</v>
      </c>
      <c r="H215" s="45">
        <f t="shared" si="107"/>
        <v>0</v>
      </c>
      <c r="I215" s="18"/>
      <c r="J215" s="70">
        <f t="shared" si="108"/>
        <v>0</v>
      </c>
      <c r="K215" s="45">
        <f t="shared" si="109"/>
        <v>0</v>
      </c>
      <c r="L215" s="17"/>
      <c r="M215" s="56">
        <f t="shared" si="110"/>
        <v>0</v>
      </c>
      <c r="N215" s="62">
        <f t="shared" si="111"/>
        <v>0</v>
      </c>
    </row>
    <row r="216" spans="1:14" hidden="1" x14ac:dyDescent="0.3">
      <c r="A216" s="40">
        <v>47543</v>
      </c>
      <c r="B216" s="15"/>
      <c r="C216" s="15"/>
      <c r="D216" s="16"/>
      <c r="E216" s="16"/>
      <c r="F216" s="45">
        <f t="shared" si="105"/>
        <v>0</v>
      </c>
      <c r="G216" s="45">
        <f t="shared" si="106"/>
        <v>0</v>
      </c>
      <c r="H216" s="45">
        <f t="shared" si="107"/>
        <v>0</v>
      </c>
      <c r="I216" s="18"/>
      <c r="J216" s="70">
        <f t="shared" si="108"/>
        <v>0</v>
      </c>
      <c r="K216" s="45">
        <f t="shared" si="109"/>
        <v>0</v>
      </c>
      <c r="L216" s="17"/>
      <c r="M216" s="56">
        <f t="shared" si="110"/>
        <v>0</v>
      </c>
      <c r="N216" s="62">
        <f t="shared" si="111"/>
        <v>0</v>
      </c>
    </row>
    <row r="217" spans="1:14" hidden="1" x14ac:dyDescent="0.3">
      <c r="A217" s="40">
        <v>47574</v>
      </c>
      <c r="B217" s="15"/>
      <c r="C217" s="15"/>
      <c r="D217" s="16"/>
      <c r="E217" s="16"/>
      <c r="F217" s="45">
        <f t="shared" si="105"/>
        <v>0</v>
      </c>
      <c r="G217" s="45">
        <f t="shared" si="106"/>
        <v>0</v>
      </c>
      <c r="H217" s="45">
        <f t="shared" si="107"/>
        <v>0</v>
      </c>
      <c r="I217" s="18"/>
      <c r="J217" s="70">
        <f t="shared" si="108"/>
        <v>0</v>
      </c>
      <c r="K217" s="45">
        <f t="shared" si="109"/>
        <v>0</v>
      </c>
      <c r="L217" s="17"/>
      <c r="M217" s="56">
        <f t="shared" si="110"/>
        <v>0</v>
      </c>
      <c r="N217" s="62">
        <f t="shared" si="111"/>
        <v>0</v>
      </c>
    </row>
    <row r="218" spans="1:14" hidden="1" x14ac:dyDescent="0.3">
      <c r="A218" s="40">
        <v>47604</v>
      </c>
      <c r="B218" s="15"/>
      <c r="C218" s="15"/>
      <c r="D218" s="16"/>
      <c r="E218" s="16"/>
      <c r="F218" s="45">
        <f t="shared" si="105"/>
        <v>0</v>
      </c>
      <c r="G218" s="45">
        <f t="shared" si="106"/>
        <v>0</v>
      </c>
      <c r="H218" s="45">
        <f t="shared" si="107"/>
        <v>0</v>
      </c>
      <c r="I218" s="18"/>
      <c r="J218" s="70">
        <f t="shared" si="108"/>
        <v>0</v>
      </c>
      <c r="K218" s="45">
        <f t="shared" si="109"/>
        <v>0</v>
      </c>
      <c r="L218" s="17"/>
      <c r="M218" s="56">
        <f t="shared" si="110"/>
        <v>0</v>
      </c>
      <c r="N218" s="62">
        <f t="shared" si="111"/>
        <v>0</v>
      </c>
    </row>
    <row r="219" spans="1:14" hidden="1" x14ac:dyDescent="0.3">
      <c r="A219" s="40">
        <v>47635</v>
      </c>
      <c r="B219" s="15"/>
      <c r="C219" s="15"/>
      <c r="D219" s="16"/>
      <c r="E219" s="16"/>
      <c r="F219" s="45">
        <f t="shared" si="105"/>
        <v>0</v>
      </c>
      <c r="G219" s="45">
        <f t="shared" si="106"/>
        <v>0</v>
      </c>
      <c r="H219" s="45">
        <f t="shared" si="107"/>
        <v>0</v>
      </c>
      <c r="I219" s="18"/>
      <c r="J219" s="70">
        <f t="shared" si="108"/>
        <v>0</v>
      </c>
      <c r="K219" s="45">
        <f t="shared" si="109"/>
        <v>0</v>
      </c>
      <c r="L219" s="17"/>
      <c r="M219" s="56">
        <f t="shared" si="110"/>
        <v>0</v>
      </c>
      <c r="N219" s="62">
        <f t="shared" si="111"/>
        <v>0</v>
      </c>
    </row>
    <row r="220" spans="1:14" hidden="1" x14ac:dyDescent="0.3">
      <c r="A220" s="40">
        <v>47665</v>
      </c>
      <c r="B220" s="15"/>
      <c r="C220" s="15"/>
      <c r="D220" s="16"/>
      <c r="E220" s="16"/>
      <c r="F220" s="45">
        <f t="shared" si="105"/>
        <v>0</v>
      </c>
      <c r="G220" s="45">
        <f t="shared" si="106"/>
        <v>0</v>
      </c>
      <c r="H220" s="45">
        <f t="shared" si="107"/>
        <v>0</v>
      </c>
      <c r="I220" s="18"/>
      <c r="J220" s="70">
        <f t="shared" si="108"/>
        <v>0</v>
      </c>
      <c r="K220" s="45">
        <f t="shared" si="109"/>
        <v>0</v>
      </c>
      <c r="L220" s="17"/>
      <c r="M220" s="56">
        <f t="shared" si="110"/>
        <v>0</v>
      </c>
      <c r="N220" s="62">
        <f t="shared" si="111"/>
        <v>0</v>
      </c>
    </row>
    <row r="221" spans="1:14" hidden="1" x14ac:dyDescent="0.3">
      <c r="A221" s="40">
        <v>47696</v>
      </c>
      <c r="B221" s="15"/>
      <c r="C221" s="15"/>
      <c r="D221" s="16"/>
      <c r="E221" s="16"/>
      <c r="F221" s="45">
        <f t="shared" si="105"/>
        <v>0</v>
      </c>
      <c r="G221" s="45">
        <f t="shared" si="106"/>
        <v>0</v>
      </c>
      <c r="H221" s="45">
        <f t="shared" si="107"/>
        <v>0</v>
      </c>
      <c r="I221" s="18"/>
      <c r="J221" s="70">
        <f t="shared" si="108"/>
        <v>0</v>
      </c>
      <c r="K221" s="45">
        <f t="shared" si="109"/>
        <v>0</v>
      </c>
      <c r="L221" s="17"/>
      <c r="M221" s="56">
        <f t="shared" si="110"/>
        <v>0</v>
      </c>
      <c r="N221" s="62">
        <f t="shared" si="111"/>
        <v>0</v>
      </c>
    </row>
    <row r="222" spans="1:14" hidden="1" x14ac:dyDescent="0.3">
      <c r="A222" s="40">
        <v>47727</v>
      </c>
      <c r="B222" s="15"/>
      <c r="C222" s="15"/>
      <c r="D222" s="16"/>
      <c r="E222" s="16"/>
      <c r="F222" s="45">
        <f t="shared" si="105"/>
        <v>0</v>
      </c>
      <c r="G222" s="45">
        <f t="shared" si="106"/>
        <v>0</v>
      </c>
      <c r="H222" s="45">
        <f t="shared" si="107"/>
        <v>0</v>
      </c>
      <c r="I222" s="18"/>
      <c r="J222" s="70">
        <f t="shared" si="108"/>
        <v>0</v>
      </c>
      <c r="K222" s="45">
        <f t="shared" si="109"/>
        <v>0</v>
      </c>
      <c r="L222" s="17"/>
      <c r="M222" s="56">
        <f t="shared" si="110"/>
        <v>0</v>
      </c>
      <c r="N222" s="62">
        <f t="shared" si="111"/>
        <v>0</v>
      </c>
    </row>
    <row r="223" spans="1:14" hidden="1" x14ac:dyDescent="0.3">
      <c r="A223" s="40">
        <v>47757</v>
      </c>
      <c r="B223" s="15"/>
      <c r="C223" s="15"/>
      <c r="D223" s="16"/>
      <c r="E223" s="16"/>
      <c r="F223" s="45">
        <f t="shared" si="105"/>
        <v>0</v>
      </c>
      <c r="G223" s="45">
        <f t="shared" si="106"/>
        <v>0</v>
      </c>
      <c r="H223" s="45">
        <f t="shared" si="107"/>
        <v>0</v>
      </c>
      <c r="I223" s="18"/>
      <c r="J223" s="70">
        <f t="shared" si="108"/>
        <v>0</v>
      </c>
      <c r="K223" s="45">
        <f t="shared" si="109"/>
        <v>0</v>
      </c>
      <c r="L223" s="17"/>
      <c r="M223" s="56">
        <f t="shared" si="110"/>
        <v>0</v>
      </c>
      <c r="N223" s="62">
        <f t="shared" si="111"/>
        <v>0</v>
      </c>
    </row>
    <row r="224" spans="1:14" hidden="1" x14ac:dyDescent="0.3">
      <c r="A224" s="40">
        <v>47788</v>
      </c>
      <c r="B224" s="15"/>
      <c r="C224" s="15"/>
      <c r="D224" s="16"/>
      <c r="E224" s="16"/>
      <c r="F224" s="45">
        <f t="shared" si="105"/>
        <v>0</v>
      </c>
      <c r="G224" s="45">
        <f t="shared" si="106"/>
        <v>0</v>
      </c>
      <c r="H224" s="45">
        <f t="shared" si="107"/>
        <v>0</v>
      </c>
      <c r="I224" s="18"/>
      <c r="J224" s="70">
        <f t="shared" si="108"/>
        <v>0</v>
      </c>
      <c r="K224" s="45">
        <f t="shared" si="109"/>
        <v>0</v>
      </c>
      <c r="L224" s="17"/>
      <c r="M224" s="56">
        <f t="shared" si="110"/>
        <v>0</v>
      </c>
      <c r="N224" s="62">
        <f t="shared" si="111"/>
        <v>0</v>
      </c>
    </row>
    <row r="225" spans="1:14" hidden="1" x14ac:dyDescent="0.3">
      <c r="A225" s="40">
        <v>47818</v>
      </c>
      <c r="B225" s="15"/>
      <c r="C225" s="15"/>
      <c r="D225" s="16"/>
      <c r="E225" s="16"/>
      <c r="F225" s="45">
        <f t="shared" si="105"/>
        <v>0</v>
      </c>
      <c r="G225" s="45">
        <f t="shared" si="106"/>
        <v>0</v>
      </c>
      <c r="H225" s="45">
        <f t="shared" si="107"/>
        <v>0</v>
      </c>
      <c r="I225" s="18"/>
      <c r="J225" s="70">
        <f t="shared" si="108"/>
        <v>0</v>
      </c>
      <c r="K225" s="45">
        <f t="shared" si="109"/>
        <v>0</v>
      </c>
      <c r="L225" s="17"/>
      <c r="M225" s="56">
        <f t="shared" si="110"/>
        <v>0</v>
      </c>
      <c r="N225" s="62">
        <f t="shared" si="111"/>
        <v>0</v>
      </c>
    </row>
    <row r="226" spans="1:14" hidden="1" x14ac:dyDescent="0.3">
      <c r="A226" s="37" t="s">
        <v>15</v>
      </c>
      <c r="B226" s="19"/>
      <c r="C226" s="20"/>
      <c r="D226" s="20"/>
      <c r="E226" s="20"/>
      <c r="F226" s="46"/>
      <c r="G226" s="46"/>
      <c r="H226" s="46"/>
      <c r="I226" s="22"/>
      <c r="J226" s="71"/>
      <c r="K226" s="46"/>
      <c r="L226" s="21"/>
      <c r="M226" s="46"/>
      <c r="N226" s="62">
        <f>SUM(N214:N225)/12</f>
        <v>0</v>
      </c>
    </row>
    <row r="227" spans="1:14" ht="15" hidden="1" thickBot="1" x14ac:dyDescent="0.35">
      <c r="A227" s="37" t="s">
        <v>16</v>
      </c>
      <c r="B227" s="19"/>
      <c r="C227" s="20"/>
      <c r="D227" s="20"/>
      <c r="E227" s="20"/>
      <c r="F227" s="46"/>
      <c r="G227" s="46"/>
      <c r="H227" s="46"/>
      <c r="I227" s="22"/>
      <c r="J227" s="71"/>
      <c r="K227" s="46"/>
      <c r="L227" s="21"/>
      <c r="M227" s="46"/>
      <c r="N227" s="64">
        <f>N226/3</f>
        <v>0</v>
      </c>
    </row>
    <row r="228" spans="1:14" ht="15" thickBot="1" x14ac:dyDescent="0.35">
      <c r="A228" s="3"/>
      <c r="B228" s="4"/>
      <c r="C228" s="4"/>
      <c r="D228" s="4"/>
      <c r="E228" s="4"/>
      <c r="F228" s="48"/>
      <c r="G228" s="48"/>
      <c r="H228" s="48"/>
      <c r="I228" s="5"/>
      <c r="K228" s="53"/>
      <c r="L228" s="10" t="s">
        <v>17</v>
      </c>
      <c r="M228" s="58"/>
      <c r="N228" s="65">
        <f>SUM(N4:N227)</f>
        <v>13700.913333333334</v>
      </c>
    </row>
  </sheetData>
  <sheetProtection algorithmName="SHA-512" hashValue="pLv1xoA8wGKgj2r92vEmoz8I/SvPL2NUKPlxIi+441Ni2eON084UygZiX4a6u0CL8XKYWfoS4RB6w0RZNFqP5Q==" saltValue="kAPOXFC5fTl+byZHPn0j+w==" spinCount="100000" sheet="1" objects="1" scenarios="1" formatColumns="0" formatRows="0"/>
  <protectedRanges>
    <protectedRange sqref="B1:B1048576 C1:C1048576 D1:D1048576 E1:E1048576 I1:I1048576 L1:L1048576" name="Intervalo2"/>
  </protectedRanges>
  <dataConsolidate/>
  <phoneticPr fontId="4" type="noConversion"/>
  <dataValidations count="2">
    <dataValidation type="list" allowBlank="1" showInputMessage="1" showErrorMessage="1" sqref="I102:I113 I200:I211 I88:I99 I74:I85 I4:I15 I18:I29 I32:I43 I46:I57 I60:I71 I116:I127 I130:I141 I144:I155 I158:I169 I172:I183 I186:I197 I214:I225" xr:uid="{00000000-0002-0000-0000-000000000000}">
      <formula1>"0, 1, 2, 3, 4, 5, 6, 7, 8, 9, 10,"</formula1>
    </dataValidation>
    <dataValidation type="list" allowBlank="1" showInputMessage="1" showErrorMessage="1" sqref="L102:L113 L200:L211 L88:L99 L74:L85 L4:L15 L18:L29 L32:L43 L46:L57 L60:L71 L116:L127 L130:L141 L144:L155 L158:L169 L172:L183 L186:L197 L214:L225" xr:uid="{00000000-0002-0000-0000-000002000000}">
      <formula1>"Sim,Não,"</formula1>
    </dataValidation>
  </dataValidations>
  <pageMargins left="0.70866141732283461" right="0.70866141732283461" top="0.74803149606299213" bottom="0.74803149606299213" header="0.31496062992125984" footer="0.31496062992125984"/>
  <pageSetup paperSize="9" scale="73" fitToHeight="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F30CFC7EF5D148946148E6F3FFC872" ma:contentTypeVersion="13" ma:contentTypeDescription="Crie um novo documento." ma:contentTypeScope="" ma:versionID="0ff201e2cfb2df3c24e564c849cf6d42">
  <xsd:schema xmlns:xsd="http://www.w3.org/2001/XMLSchema" xmlns:xs="http://www.w3.org/2001/XMLSchema" xmlns:p="http://schemas.microsoft.com/office/2006/metadata/properties" xmlns:ns2="7e3ed52c-266f-492f-88e8-84f81348c47b" xmlns:ns3="dc94aee7-8efe-4bca-9fa5-7af462edec7a" targetNamespace="http://schemas.microsoft.com/office/2006/metadata/properties" ma:root="true" ma:fieldsID="c9779be0af5eddf9bc8cbb1eeea723ec" ns2:_="" ns3:_="">
    <xsd:import namespace="7e3ed52c-266f-492f-88e8-84f81348c47b"/>
    <xsd:import namespace="dc94aee7-8efe-4bca-9fa5-7af462edec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3ed52c-266f-492f-88e8-84f81348c4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13b96153-487f-4f4b-bbb7-ab03517b1a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94aee7-8efe-4bca-9fa5-7af462edec7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fdc133-598e-40f7-b0e4-aef27b249d64}" ma:internalName="TaxCatchAll" ma:showField="CatchAllData" ma:web="dc94aee7-8efe-4bca-9fa5-7af462edec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3ed52c-266f-492f-88e8-84f81348c47b">
      <Terms xmlns="http://schemas.microsoft.com/office/infopath/2007/PartnerControls"/>
    </lcf76f155ced4ddcb4097134ff3c332f>
    <TaxCatchAll xmlns="dc94aee7-8efe-4bca-9fa5-7af462edec7a" xsi:nil="true"/>
  </documentManagement>
</p:properties>
</file>

<file path=customXml/itemProps1.xml><?xml version="1.0" encoding="utf-8"?>
<ds:datastoreItem xmlns:ds="http://schemas.openxmlformats.org/officeDocument/2006/customXml" ds:itemID="{8BF1CF7E-E1B4-4BA8-8785-71E686CA11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3ed52c-266f-492f-88e8-84f81348c47b"/>
    <ds:schemaRef ds:uri="dc94aee7-8efe-4bca-9fa5-7af462edec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57E666-FB11-4182-B92F-9A43939C4F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DC3429-4DF4-46B0-9B42-3AE555A6D23D}">
  <ds:schemaRefs>
    <ds:schemaRef ds:uri="http://schemas.microsoft.com/office/2006/metadata/properties"/>
    <ds:schemaRef ds:uri="http://schemas.microsoft.com/office/infopath/2007/PartnerControls"/>
    <ds:schemaRef ds:uri="7e3ed52c-266f-492f-88e8-84f81348c47b"/>
    <ds:schemaRef ds:uri="dc94aee7-8efe-4bca-9fa5-7af462edec7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Cálculo - ADPJ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valeria</dc:creator>
  <cp:keywords/>
  <dc:description/>
  <cp:lastModifiedBy>valeria pinheiro</cp:lastModifiedBy>
  <cp:revision/>
  <cp:lastPrinted>2026-02-20T14:52:42Z</cp:lastPrinted>
  <dcterms:created xsi:type="dcterms:W3CDTF">2019-05-14T16:56:21Z</dcterms:created>
  <dcterms:modified xsi:type="dcterms:W3CDTF">2026-02-20T14:54:41Z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0x01010001F30CFC7EF5D148946148E6F3FFC872</vt:lpwstr>
  </property>
  <property fmtid="{D5CDD505-2E9C-101B-9397-08002B2CF9AE}" pid="3" name="MediaServiceImageTags">
    <vt:lpwstr/>
  </property>
</Properties>
</file>